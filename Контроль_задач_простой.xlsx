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адачи" sheetId="1" state="visible" r:id="rId3"/>
  </sheets>
  <definedNames>
    <definedName function="false" hidden="true" localSheetId="0" name="_xlnm._FilterDatabase" vbProcedure="false">Задачи!$A$6:$J$306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<sst xmlns="http://schemas.openxmlformats.org/spreadsheetml/2006/main" count="228" uniqueCount="96">
  <si>
    <t xml:space="preserve">КОНТРОЛЬ РАБОЧИХ ЗАДАЧ</t>
  </si>
  <si>
    <t xml:space="preserve">Сегодня:</t>
  </si>
  <si>
    <t xml:space="preserve">СВОДКА</t>
  </si>
  <si>
    <t xml:space="preserve">ВСЕГО АКТИВНЫХ</t>
  </si>
  <si>
    <t xml:space="preserve">СРОЧНЫХ</t>
  </si>
  <si>
    <t xml:space="preserve">ПРОСРОЧЕНО</t>
  </si>
  <si>
    <t xml:space="preserve">В РАБОТЕ</t>
  </si>
  <si>
    <t xml:space="preserve">ОЖИДАЮТ</t>
  </si>
  <si>
    <t xml:space="preserve">ВЫПОЛНЕНО</t>
  </si>
  <si>
    <t xml:space="preserve">Фильтры — стрелки в заголовках таблицы ↓</t>
  </si>
  <si>
    <t xml:space="preserve">Задача</t>
  </si>
  <si>
    <t xml:space="preserve">Категория</t>
  </si>
  <si>
    <t xml:space="preserve">Приоритет</t>
  </si>
  <si>
    <t xml:space="preserve">Статус</t>
  </si>
  <si>
    <t xml:space="preserve">Дата постановки</t>
  </si>
  <si>
    <t xml:space="preserve">Срок</t>
  </si>
  <si>
    <t xml:space="preserve">Повтор</t>
  </si>
  <si>
    <t xml:space="preserve">Время</t>
  </si>
  <si>
    <t xml:space="preserve">Комментарий / результат</t>
  </si>
  <si>
    <t xml:space="preserve">Срок: осталось (авто)</t>
  </si>
  <si>
    <t xml:space="preserve">Закончить регламент сотрудников</t>
  </si>
  <si>
    <t xml:space="preserve">Управление</t>
  </si>
  <si>
    <t xml:space="preserve">Срочно</t>
  </si>
  <si>
    <t xml:space="preserve">В работе</t>
  </si>
  <si>
    <t xml:space="preserve">Разово</t>
  </si>
  <si>
    <t xml:space="preserve">1–2 часа</t>
  </si>
  <si>
    <t xml:space="preserve">в трудовом договоре указать налогии</t>
  </si>
  <si>
    <t xml:space="preserve">Контролировать таргет по промбазе: заявки, стоимость лида, качество обращений</t>
  </si>
  <si>
    <t xml:space="preserve">Промбаза / маркетинг</t>
  </si>
  <si>
    <t xml:space="preserve">Высокий</t>
  </si>
  <si>
    <t xml:space="preserve">Ежедневно</t>
  </si>
  <si>
    <t xml:space="preserve">20–30 мин</t>
  </si>
  <si>
    <t xml:space="preserve">Поиск сотрудника — приёмщик</t>
  </si>
  <si>
    <t xml:space="preserve">Найм</t>
  </si>
  <si>
    <t xml:space="preserve">45 мин</t>
  </si>
  <si>
    <t xml:space="preserve">подала объявление в НН, Каспи
Периодичность: ежедневно до закрытия</t>
  </si>
  <si>
    <t xml:space="preserve">Поиск SMM-специалиста</t>
  </si>
  <si>
    <t xml:space="preserve">Периодичность: ежедневно до закрытия</t>
  </si>
  <si>
    <t xml:space="preserve">Поиск торгового менеджера</t>
  </si>
  <si>
    <t xml:space="preserve">Не начато</t>
  </si>
  <si>
    <t xml:space="preserve">30 мин</t>
  </si>
  <si>
    <t xml:space="preserve">Шеф: 200 оклад, план на 10 млн -1% от продаж, график 6/1 , 100 тыс дорожный + обед</t>
  </si>
  <si>
    <t xml:space="preserve">Поиск регионального менеджера</t>
  </si>
  <si>
    <t xml:space="preserve">Продвижение подгузников: идеи, контент, каналы продвижения, контроль,Посик UGS креаторов, блогеров</t>
  </si>
  <si>
    <t xml:space="preserve">Подгузники / маркетинг</t>
  </si>
  <si>
    <t xml:space="preserve">Отложено</t>
  </si>
  <si>
    <t xml:space="preserve">1 час</t>
  </si>
  <si>
    <t xml:space="preserve">совместо с маркетологом будем работать</t>
  </si>
  <si>
    <t xml:space="preserve">Пожарная безопасность</t>
  </si>
  <si>
    <t xml:space="preserve">Оптовка</t>
  </si>
  <si>
    <t xml:space="preserve">вопрос делегирован Улжану</t>
  </si>
  <si>
    <t xml:space="preserve">Зарегистровать компанию в портал Алеумет</t>
  </si>
  <si>
    <t xml:space="preserve">эцп,декларация о соответствии подтв соответсвия, регистрационное удостоверение, док сертификат, регистрационные дркументы, сведение о товаре цена ,все данные компании ТОО,запросить у Гульжайны,</t>
  </si>
  <si>
    <t xml:space="preserve">Договор о неразглашений конф информации, подписать всех сотрудников</t>
  </si>
  <si>
    <t xml:space="preserve">15 мин</t>
  </si>
  <si>
    <t xml:space="preserve">отделам отправила весь регламент жду пописи</t>
  </si>
  <si>
    <t xml:space="preserve">миграционные вопросы решить по трудоустройстве</t>
  </si>
  <si>
    <t xml:space="preserve">Съездить в общежитие и снять фото/видео и зикр выставять обьяв</t>
  </si>
  <si>
    <t xml:space="preserve">Недвижимость</t>
  </si>
  <si>
    <t xml:space="preserve">Средний</t>
  </si>
  <si>
    <t xml:space="preserve">Разместить общежитие на Krisha.kz после съёмки</t>
  </si>
  <si>
    <t xml:space="preserve">30–45 мин</t>
  </si>
  <si>
    <t xml:space="preserve">Паспорт Объекта</t>
  </si>
  <si>
    <t xml:space="preserve">Регина Улан</t>
  </si>
  <si>
    <t xml:space="preserve">Даулет мырза набрать, напомнить,Улжана передать на поле</t>
  </si>
  <si>
    <t xml:space="preserve">Ожидает</t>
  </si>
  <si>
    <t xml:space="preserve">2–3 часа</t>
  </si>
  <si>
    <t xml:space="preserve">Продать машины грузовые, обновить все машины,машину по под 0 процентов, от3 до5  лизинг</t>
  </si>
  <si>
    <t xml:space="preserve">от 5 до 10 млн, 5 тонник груз подьем 6-8 тонн</t>
  </si>
  <si>
    <t xml:space="preserve">Светофор магазин, по ним ждем Ханни</t>
  </si>
  <si>
    <t xml:space="preserve">Страхование жизни уточнить взять КП</t>
  </si>
  <si>
    <t xml:space="preserve">вторник пятница в область машины отгрузки не ездят в Основном все фуры по регионам стоят</t>
  </si>
  <si>
    <t xml:space="preserve">стационарные огнетушетели на колесах 4 шт купитьи  потсавить</t>
  </si>
  <si>
    <t xml:space="preserve">узнать у Улжан менеджера выход на Райымбек</t>
  </si>
  <si>
    <t xml:space="preserve">продать кофе машину</t>
  </si>
  <si>
    <t xml:space="preserve">водитель экспедитор и торговый</t>
  </si>
  <si>
    <t xml:space="preserve">журнал безопасности заполнить</t>
  </si>
  <si>
    <t xml:space="preserve">досконально отработать по пожаоной безопасности на чьей это ответсенности арендатор или арендодатель,говый договор запросить</t>
  </si>
  <si>
    <t xml:space="preserve">Орг структуру добить переделать</t>
  </si>
  <si>
    <t xml:space="preserve">съездить на осмотр машины и на обшежитие завтра</t>
  </si>
  <si>
    <t xml:space="preserve">короткий отчет сделать исходя от документов, контроль бухгалтерий  на аутсорсе</t>
  </si>
  <si>
    <t xml:space="preserve">разработать Кипиай исходя из возможности компании, склад, экспед</t>
  </si>
  <si>
    <t xml:space="preserve">Закончить мотивационную систему сотрудников</t>
  </si>
  <si>
    <t xml:space="preserve">Продажи / управление</t>
  </si>
  <si>
    <t xml:space="preserve">Выполнено</t>
  </si>
  <si>
    <t xml:space="preserve">Страхование компаний ТМЦ, надо найти компании, от Гульзиры бух спросить анкету</t>
  </si>
  <si>
    <t xml:space="preserve">приедут две компании на осмотр объекта сегодня
Шеф: ждем ответ от Евразия Номад Аманат КП, до Халыка не дозвонилась</t>
  </si>
  <si>
    <t xml:space="preserve">Решить вопрос по Алтел, сделать с компанией доп соглашение,купить тариф,заменить все старые номера</t>
  </si>
  <si>
    <t xml:space="preserve">Телефония взять в контроль,оплата через Гульжайны</t>
  </si>
  <si>
    <t xml:space="preserve">Проверить и улучшить объявление промбазы на Krisha.kz</t>
  </si>
  <si>
    <t xml:space="preserve">Промбаза</t>
  </si>
  <si>
    <t xml:space="preserve">Еженедельно</t>
  </si>
  <si>
    <t xml:space="preserve">Разместить / обновить объявление на Krisha.kz по промбазе / по Таргету</t>
  </si>
  <si>
    <t xml:space="preserve">Поиск маркетолога</t>
  </si>
  <si>
    <t xml:space="preserve">ждем ответа с 12 го октября выйдет на работу</t>
  </si>
  <si>
    <t xml:space="preserve">Задача РОПу списов сотрудников графиков отправить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</si>
</sst>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A44"/>
      <name val="Arial"/>
      <family val="0"/>
      <charset val="1"/>
    </font>
    <font>
      <sz val="9"/>
      <color rgb="FF7A8696"/>
      <name val="Arial"/>
      <family val="0"/>
      <charset val="1"/>
    </font>
    <font>
      <b val="true"/>
      <sz val="10"/>
      <color rgb="FF2F4B6E"/>
      <name val="Arial"/>
      <family val="0"/>
      <charset val="1"/>
    </font>
    <font>
      <b val="true"/>
      <sz val="8"/>
      <color rgb="FF6B7886"/>
      <name val="Arial"/>
      <family val="0"/>
      <charset val="1"/>
    </font>
    <font>
      <b val="true"/>
      <sz val="18"/>
      <color rgb="FFC0392B"/>
      <name val="Arial"/>
      <family val="0"/>
      <charset val="1"/>
    </font>
    <font>
      <b val="true"/>
      <sz val="18"/>
      <color rgb="FF1E6B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B38"/>
      <name val="Arial"/>
      <family val="0"/>
      <charset val="1"/>
    </font>
    <font>
      <sz val="10"/>
      <color rgb="FF7A869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5F8"/>
        <bgColor rgb="FFECEFF3"/>
      </patternFill>
    </fill>
    <fill>
      <patternFill patternType="solid">
        <fgColor rgb="FF2F4B6E"/>
        <bgColor rgb="FF1F4E79"/>
      </patternFill>
    </fill>
    <fill>
      <patternFill patternType="solid">
        <fgColor rgb="FF6B7F96"/>
        <bgColor rgb="FF6B788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2F4B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B38"/>
          <bgColor rgb="FF000000"/>
        </patternFill>
      </fill>
    </dxf>
    <dxf>
      <fill>
        <patternFill patternType="solid">
          <fgColor rgb="FF98A2B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D5D1"/>
          <bgColor rgb="FF000000"/>
        </patternFill>
      </fill>
    </dxf>
    <dxf>
      <fill>
        <patternFill patternType="solid">
          <fgColor rgb="FFFBE6CC"/>
          <bgColor rgb="FF000000"/>
        </patternFill>
      </fill>
    </dxf>
    <dxf>
      <fill>
        <patternFill patternType="solid">
          <fgColor rgb="FFFFF3C9"/>
          <bgColor rgb="FF000000"/>
        </patternFill>
      </fill>
    </dxf>
    <dxf>
      <fill>
        <patternFill patternType="solid">
          <fgColor rgb="FF6B5A00"/>
          <bgColor rgb="FF000000"/>
        </patternFill>
      </fill>
    </dxf>
    <dxf>
      <fill>
        <patternFill patternType="solid">
          <fgColor rgb="FF8A4B08"/>
          <bgColor rgb="FF000000"/>
        </patternFill>
      </fill>
    </dxf>
    <dxf>
      <fill>
        <patternFill patternType="solid">
          <fgColor rgb="FF9C2B22"/>
          <bgColor rgb="FF000000"/>
        </patternFill>
      </fill>
    </dxf>
    <dxf>
      <fill>
        <patternFill patternType="solid">
          <fgColor rgb="FFDCEAF7"/>
          <bgColor rgb="FF000000"/>
        </patternFill>
      </fill>
    </dxf>
    <dxf>
      <fill>
        <patternFill patternType="solid">
          <fgColor rgb="FFECEFF3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5B6675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6B7F96"/>
          <bgColor rgb="FF000000"/>
        </patternFill>
      </fill>
    </dxf>
    <dxf>
      <fill>
        <patternFill patternType="solid">
          <fgColor rgb="FF7A8696"/>
          <bgColor rgb="FF000000"/>
        </patternFill>
      </fill>
    </dxf>
    <dxf>
      <font>
        <name val="Arial"/>
        <charset val="1"/>
        <family val="0"/>
        <strike val="1"/>
        <color rgb="FF98A2B0"/>
      </font>
    </dxf>
    <dxf>
      <fill>
        <patternFill>
          <bgColor rgb="FFFDECEC"/>
        </patternFill>
      </fill>
    </dxf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B45F06"/>
      </font>
    </dxf>
    <dxf>
      <font>
        <name val="Arial"/>
        <charset val="1"/>
        <family val="0"/>
        <b val="1"/>
        <color rgb="FF9C2B22"/>
      </font>
      <fill>
        <patternFill>
          <bgColor rgb="FFF6D5D1"/>
        </patternFill>
      </fill>
    </dxf>
    <dxf>
      <font>
        <name val="Arial"/>
        <charset val="1"/>
        <family val="0"/>
        <color rgb="FF8A4B08"/>
      </font>
      <fill>
        <patternFill>
          <bgColor rgb="FFFBE6CC"/>
        </patternFill>
      </fill>
    </dxf>
    <dxf>
      <font>
        <name val="Arial"/>
        <charset val="1"/>
        <family val="0"/>
        <color rgb="FF6B5A00"/>
      </font>
      <fill>
        <patternFill>
          <bgColor rgb="FFFFF3C9"/>
        </patternFill>
      </fill>
    </dxf>
    <dxf>
      <font>
        <name val="Arial"/>
        <charset val="1"/>
        <family val="0"/>
        <color rgb="FF48607A"/>
      </font>
      <fill>
        <patternFill>
          <bgColor rgb="FFE4ECF4"/>
        </patternFill>
      </fill>
    </dxf>
    <dxf>
      <font>
        <name val="Arial"/>
        <charset val="1"/>
        <family val="0"/>
        <color rgb="FF1F4E79"/>
      </font>
      <fill>
        <patternFill>
          <bgColor rgb="FFDCEAF7"/>
        </patternFill>
      </fill>
    </dxf>
    <dxf>
      <font>
        <name val="Arial"/>
        <charset val="1"/>
        <family val="0"/>
        <color rgb="FF5B6675"/>
      </font>
      <fill>
        <patternFill>
          <bgColor rgb="FFECEF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6B5A00"/>
      <rgbColor rgb="FF800080"/>
      <rgbColor rgb="FF008080"/>
      <rgbColor rgb="FFFDECEC"/>
      <rgbColor rgb="FF7A8696"/>
      <rgbColor rgb="FF6B7886"/>
      <rgbColor rgb="FFC0392B"/>
      <rgbColor rgb="FFFFF3C9"/>
      <rgbColor rgb="FFDCEAF7"/>
      <rgbColor rgb="FF660066"/>
      <rgbColor rgb="FFFF8080"/>
      <rgbColor rgb="FF1F4E79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CF4"/>
      <rgbColor rgb="FFECEFF3"/>
      <rgbColor rgb="FFFBE6CC"/>
      <rgbColor rgb="FFF2F5F8"/>
      <rgbColor rgb="FFFF99CC"/>
      <rgbColor rgb="FFCC99FF"/>
      <rgbColor rgb="FFF6D5D1"/>
      <rgbColor rgb="FF48607A"/>
      <rgbColor rgb="FF33CCCC"/>
      <rgbColor rgb="FF99CC00"/>
      <rgbColor rgb="FFFFCC00"/>
      <rgbColor rgb="FFFF9900"/>
      <rgbColor rgb="FFB45F06"/>
      <rgbColor rgb="FF5B6675"/>
      <rgbColor rgb="FF98A2B0"/>
      <rgbColor rgb="FF1F2A44"/>
      <rgbColor rgb="FF6B7F96"/>
      <rgbColor rgb="FF003300"/>
      <rgbColor rgb="FF333300"/>
      <rgbColor rgb="FF9C2B22"/>
      <rgbColor rgb="FF8A4B08"/>
      <rgbColor rgb="FF2F4B6E"/>
      <rgbColor rgb="FF222B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52"/>
    <col collapsed="false" customWidth="true" hidden="false" outlineLevel="0" max="10" min="10" style="0" width="2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f aca="true">TODAY()</f>
        <v>46301</v>
      </c>
    </row>
    <row r="3" customFormat="false" ht="24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</row>
    <row r="4" customFormat="false" ht="33.75" hidden="false" customHeight="true" outlineLevel="0" collapsed="false">
      <c r="A4" s="6" t="s">
        <v>9</v>
      </c>
      <c r="B4" s="7" t="n">
        <f aca="false">COUNTA($A$7:$A$306)-COUNTIF($D$7:$D$306,"Выполнено")</f>
        <v>29</v>
      </c>
      <c r="C4" s="8" t="n">
        <f aca="false">COUNTIFS($C$7:$C$306,"Срочно",$D$7:$D$306,"&lt;&gt;Выполнено",$A$7:$A$306,"&lt;&gt;")</f>
        <v>1</v>
      </c>
      <c r="D4" s="8" t="n">
        <f aca="true">SUMPRODUCT(($A$7:$A$306&lt;&gt;"")*($D$7:$D$306&lt;&gt;"Выполнено")*($F$7:$F$306&lt;&gt;"")*($F$7:$F$306&lt;TODAY()))</f>
        <v>0</v>
      </c>
      <c r="E4" s="7" t="n">
        <f aca="false">COUNTIF($D$7:$D$306,"В работе")</f>
        <v>7</v>
      </c>
      <c r="F4" s="7" t="n">
        <f aca="false">COUNTIF($D$7:$D$306,"Ожидает")</f>
        <v>1</v>
      </c>
      <c r="G4" s="9" t="n">
        <f aca="false">COUNTIF($D$7:$D$306,"Выполнено")</f>
        <v>8</v>
      </c>
    </row>
    <row r="6" customFormat="false" ht="31.5" hidden="false" customHeight="true" outlineLevel="0" collapsed="false">
      <c r="A6" s="10" t="s">
        <v>10</v>
      </c>
      <c r="B6" s="10" t="s">
        <v>11</v>
      </c>
      <c r="C6" s="10" t="s">
        <v>12</v>
      </c>
      <c r="D6" s="10" t="s">
        <v>13</v>
      </c>
      <c r="E6" s="10" t="s">
        <v>14</v>
      </c>
      <c r="F6" s="10" t="s">
        <v>15</v>
      </c>
      <c r="G6" s="10" t="s">
        <v>16</v>
      </c>
      <c r="H6" s="10" t="s">
        <v>17</v>
      </c>
      <c r="I6" s="10" t="s">
        <v>18</v>
      </c>
      <c r="J6" s="11" t="s">
        <v>19</v>
      </c>
    </row>
    <row r="7" customFormat="false" ht="21.75" hidden="false" customHeight="true" outlineLevel="0" collapsed="false">
      <c r="A7" s="12" t="s">
        <v>20</v>
      </c>
      <c r="B7" s="12" t="s">
        <v>21</v>
      </c>
      <c r="C7" s="13" t="s">
        <v>22</v>
      </c>
      <c r="D7" s="13" t="s">
        <v>23</v>
      </c>
      <c r="E7" s="14"/>
      <c r="F7" s="14" t="n">
        <v>46301</v>
      </c>
      <c r="G7" s="13" t="s">
        <v>24</v>
      </c>
      <c r="H7" s="13" t="s">
        <v>25</v>
      </c>
      <c r="I7" s="12" t="s">
        <v>26</v>
      </c>
      <c r="J7" s="15" t="str">
        <f aca="true">IF(OR(A7="",D7="Выполнено"),"",IF(F7="",IF(AND(G7&lt;&gt;"",G7&lt;&gt;"Разово"),"↻ "&amp;G7,""),IF(F7&lt;TODAY(),"Просрочено на "&amp;(TODAY()-F7)&amp;" дн.",IF(F7=TODAY(),"Сегодня",IF(F7=TODAY()+1,"Завтра","Через "&amp;(F7-TODAY())&amp;" дн.")))))</f>
        <v>Сегодня</v>
      </c>
    </row>
    <row r="8" customFormat="false" ht="33" hidden="false" customHeight="true" outlineLevel="0" collapsed="false">
      <c r="A8" s="12" t="s">
        <v>27</v>
      </c>
      <c r="B8" s="12" t="s">
        <v>28</v>
      </c>
      <c r="C8" s="13" t="s">
        <v>29</v>
      </c>
      <c r="D8" s="13" t="s">
        <v>23</v>
      </c>
      <c r="E8" s="14"/>
      <c r="F8" s="14"/>
      <c r="G8" s="13" t="s">
        <v>30</v>
      </c>
      <c r="H8" s="13" t="s">
        <v>31</v>
      </c>
      <c r="I8" s="12"/>
      <c r="J8" s="15" t="str">
        <f aca="true">IF(OR(A8="",D8="Выполнено"),"",IF(F8="",IF(AND(G8&lt;&gt;"",G8&lt;&gt;"Разово"),"↻ "&amp;G8,""),IF(F8&lt;TODAY(),"Просрочено на "&amp;(TODAY()-F8)&amp;" дн.",IF(F8=TODAY(),"Сегодня",IF(F8=TODAY()+1,"Завтра","Через "&amp;(F8-TODAY())&amp;" дн.")))))</f>
        <v>↻ Ежедневно</v>
      </c>
    </row>
    <row r="9" customFormat="false" ht="33" hidden="false" customHeight="true" outlineLevel="0" collapsed="false">
      <c r="A9" s="12" t="s">
        <v>32</v>
      </c>
      <c r="B9" s="12" t="s">
        <v>33</v>
      </c>
      <c r="C9" s="13" t="s">
        <v>29</v>
      </c>
      <c r="D9" s="13" t="s">
        <v>23</v>
      </c>
      <c r="E9" s="14"/>
      <c r="F9" s="14"/>
      <c r="G9" s="13" t="s">
        <v>30</v>
      </c>
      <c r="H9" s="13" t="s">
        <v>34</v>
      </c>
      <c r="I9" s="12" t="s">
        <v>35</v>
      </c>
      <c r="J9" s="15" t="str">
        <f aca="true">IF(OR(A9="",D9="Выполнено"),"",IF(F9="",IF(AND(G9&lt;&gt;"",G9&lt;&gt;"Разово"),"↻ "&amp;G9,""),IF(F9&lt;TODAY(),"Просрочено на "&amp;(TODAY()-F9)&amp;" дн.",IF(F9=TODAY(),"Сегодня",IF(F9=TODAY()+1,"Завтра","Через "&amp;(F9-TODAY())&amp;" дн.")))))</f>
        <v>↻ Ежедневно</v>
      </c>
    </row>
    <row r="10" customFormat="false" ht="21.75" hidden="false" customHeight="true" outlineLevel="0" collapsed="false">
      <c r="A10" s="12" t="s">
        <v>36</v>
      </c>
      <c r="B10" s="12" t="s">
        <v>33</v>
      </c>
      <c r="C10" s="13" t="s">
        <v>29</v>
      </c>
      <c r="D10" s="13" t="s">
        <v>23</v>
      </c>
      <c r="E10" s="14"/>
      <c r="F10" s="14"/>
      <c r="G10" s="13" t="s">
        <v>30</v>
      </c>
      <c r="H10" s="13" t="s">
        <v>34</v>
      </c>
      <c r="I10" s="12" t="s">
        <v>37</v>
      </c>
      <c r="J10" s="15" t="str">
        <f aca="true">IF(OR(A10="",D10="Выполнено"),"",IF(F10="",IF(AND(G10&lt;&gt;"",G10&lt;&gt;"Разово"),"↻ "&amp;G10,""),IF(F10&lt;TODAY(),"Просрочено на "&amp;(TODAY()-F10)&amp;" дн.",IF(F10=TODAY(),"Сегодня",IF(F10=TODAY()+1,"Завтра","Через "&amp;(F10-TODAY())&amp;" дн.")))))</f>
        <v>↻ Ежедневно</v>
      </c>
    </row>
    <row r="11" customFormat="false" ht="33" hidden="false" customHeight="true" outlineLevel="0" collapsed="false">
      <c r="A11" s="12" t="s">
        <v>38</v>
      </c>
      <c r="B11" s="12" t="s">
        <v>33</v>
      </c>
      <c r="C11" s="13" t="s">
        <v>29</v>
      </c>
      <c r="D11" s="13" t="s">
        <v>39</v>
      </c>
      <c r="E11" s="14"/>
      <c r="F11" s="14"/>
      <c r="G11" s="13" t="s">
        <v>30</v>
      </c>
      <c r="H11" s="13" t="s">
        <v>40</v>
      </c>
      <c r="I11" s="12" t="s">
        <v>41</v>
      </c>
      <c r="J11" s="15" t="str">
        <f aca="true">IF(OR(A11="",D11="Выполнено"),"",IF(F11="",IF(AND(G11&lt;&gt;"",G11&lt;&gt;"Разово"),"↻ "&amp;G11,""),IF(F11&lt;TODAY(),"Просрочено на "&amp;(TODAY()-F11)&amp;" дн.",IF(F11=TODAY(),"Сегодня",IF(F11=TODAY()+1,"Завтра","Через "&amp;(F11-TODAY())&amp;" дн.")))))</f>
        <v>↻ Ежедневно</v>
      </c>
    </row>
    <row r="12" customFormat="false" ht="21.75" hidden="false" customHeight="true" outlineLevel="0" collapsed="false">
      <c r="A12" s="12" t="s">
        <v>42</v>
      </c>
      <c r="B12" s="12" t="s">
        <v>33</v>
      </c>
      <c r="C12" s="13" t="s">
        <v>29</v>
      </c>
      <c r="D12" s="13" t="s">
        <v>39</v>
      </c>
      <c r="E12" s="14"/>
      <c r="F12" s="14"/>
      <c r="G12" s="13" t="s">
        <v>30</v>
      </c>
      <c r="H12" s="13" t="s">
        <v>34</v>
      </c>
      <c r="I12" s="12" t="s">
        <v>37</v>
      </c>
      <c r="J12" s="15" t="str">
        <f aca="true">IF(OR(A12="",D12="Выполнено"),"",IF(F12="",IF(AND(G12&lt;&gt;"",G12&lt;&gt;"Разово"),"↻ "&amp;G12,""),IF(F12&lt;TODAY(),"Просрочено на "&amp;(TODAY()-F12)&amp;" дн.",IF(F12=TODAY(),"Сегодня",IF(F12=TODAY()+1,"Завтра","Через "&amp;(F12-TODAY())&amp;" дн.")))))</f>
        <v>↻ Ежедневно</v>
      </c>
    </row>
    <row r="13" customFormat="false" ht="33" hidden="false" customHeight="true" outlineLevel="0" collapsed="false">
      <c r="A13" s="12" t="s">
        <v>43</v>
      </c>
      <c r="B13" s="12" t="s">
        <v>44</v>
      </c>
      <c r="C13" s="13" t="s">
        <v>29</v>
      </c>
      <c r="D13" s="13" t="s">
        <v>45</v>
      </c>
      <c r="E13" s="14"/>
      <c r="F13" s="14"/>
      <c r="G13" s="13" t="s">
        <v>30</v>
      </c>
      <c r="H13" s="13" t="s">
        <v>46</v>
      </c>
      <c r="I13" s="12" t="s">
        <v>47</v>
      </c>
      <c r="J13" s="15" t="str">
        <f aca="true">IF(OR(A13="",D13="Выполнено"),"",IF(F13="",IF(AND(G13&lt;&gt;"",G13&lt;&gt;"Разово"),"↻ "&amp;G13,""),IF(F13&lt;TODAY(),"Просрочено на "&amp;(TODAY()-F13)&amp;" дн.",IF(F13=TODAY(),"Сегодня",IF(F13=TODAY()+1,"Завтра","Через "&amp;(F13-TODAY())&amp;" дн.")))))</f>
        <v>↻ Ежедневно</v>
      </c>
    </row>
    <row r="14" customFormat="false" ht="21.75" hidden="false" customHeight="true" outlineLevel="0" collapsed="false">
      <c r="A14" s="12" t="s">
        <v>48</v>
      </c>
      <c r="B14" s="12" t="s">
        <v>49</v>
      </c>
      <c r="C14" s="13" t="s">
        <v>29</v>
      </c>
      <c r="D14" s="13" t="s">
        <v>23</v>
      </c>
      <c r="E14" s="14"/>
      <c r="F14" s="14" t="n">
        <v>46301</v>
      </c>
      <c r="G14" s="13" t="s">
        <v>24</v>
      </c>
      <c r="H14" s="13" t="s">
        <v>34</v>
      </c>
      <c r="I14" s="12" t="s">
        <v>50</v>
      </c>
      <c r="J14" s="15" t="str">
        <f aca="true">IF(OR(A14="",D14="Выполнено"),"",IF(F14="",IF(AND(G14&lt;&gt;"",G14&lt;&gt;"Разово"),"↻ "&amp;G14,""),IF(F14&lt;TODAY(),"Просрочено на "&amp;(TODAY()-F14)&amp;" дн.",IF(F14=TODAY(),"Сегодня",IF(F14=TODAY()+1,"Завтра","Через "&amp;(F14-TODAY())&amp;" дн.")))))</f>
        <v>Сегодня</v>
      </c>
    </row>
    <row r="15" customFormat="false" ht="60" hidden="false" customHeight="true" outlineLevel="0" collapsed="false">
      <c r="A15" s="12" t="s">
        <v>51</v>
      </c>
      <c r="B15" s="12" t="s">
        <v>44</v>
      </c>
      <c r="C15" s="13" t="s">
        <v>29</v>
      </c>
      <c r="D15" s="13" t="s">
        <v>39</v>
      </c>
      <c r="E15" s="14"/>
      <c r="F15" s="14" t="n">
        <v>46304</v>
      </c>
      <c r="G15" s="13" t="s">
        <v>24</v>
      </c>
      <c r="H15" s="13" t="s">
        <v>46</v>
      </c>
      <c r="I15" s="12" t="s">
        <v>52</v>
      </c>
      <c r="J15" s="15" t="str">
        <f aca="true">IF(OR(A15="",D15="Выполнено"),"",IF(F15="",IF(AND(G15&lt;&gt;"",G15&lt;&gt;"Разово"),"↻ "&amp;G15,""),IF(F15&lt;TODAY(),"Просрочено на "&amp;(TODAY()-F15)&amp;" дн.",IF(F15=TODAY(),"Сегодня",IF(F15=TODAY()+1,"Завтра","Через "&amp;(F15-TODAY())&amp;" дн.")))))</f>
        <v>Через 3 дн.</v>
      </c>
    </row>
    <row r="16" customFormat="false" ht="33" hidden="false" customHeight="true" outlineLevel="0" collapsed="false">
      <c r="A16" s="12" t="s">
        <v>53</v>
      </c>
      <c r="B16" s="12" t="s">
        <v>21</v>
      </c>
      <c r="C16" s="13" t="s">
        <v>29</v>
      </c>
      <c r="D16" s="13" t="s">
        <v>23</v>
      </c>
      <c r="E16" s="14"/>
      <c r="F16" s="14" t="n">
        <v>46302</v>
      </c>
      <c r="G16" s="13" t="s">
        <v>24</v>
      </c>
      <c r="H16" s="13" t="s">
        <v>54</v>
      </c>
      <c r="I16" s="12" t="s">
        <v>55</v>
      </c>
      <c r="J16" s="15" t="str">
        <f aca="true">IF(OR(A16="",D16="Выполнено"),"",IF(F16="",IF(AND(G16&lt;&gt;"",G16&lt;&gt;"Разово"),"↻ "&amp;G16,""),IF(F16&lt;TODAY(),"Просрочено на "&amp;(TODAY()-F16)&amp;" дн.",IF(F16=TODAY(),"Сегодня",IF(F16=TODAY()+1,"Завтра","Через "&amp;(F16-TODAY())&amp;" дн.")))))</f>
        <v>Завтра</v>
      </c>
    </row>
    <row r="17" customFormat="false" ht="21.75" hidden="false" customHeight="true" outlineLevel="0" collapsed="false">
      <c r="A17" s="12" t="s">
        <v>56</v>
      </c>
      <c r="B17" s="12" t="s">
        <v>21</v>
      </c>
      <c r="C17" s="13" t="s">
        <v>29</v>
      </c>
      <c r="D17" s="13" t="s">
        <v>45</v>
      </c>
      <c r="E17" s="14"/>
      <c r="F17" s="14"/>
      <c r="G17" s="13" t="s">
        <v>24</v>
      </c>
      <c r="H17" s="13"/>
      <c r="I17" s="12"/>
      <c r="J17" s="15" t="str">
        <f aca="true">IF(OR(A17="",D17="Выполнено"),"",IF(F17="",IF(AND(G17&lt;&gt;"",G17&lt;&gt;"Разово"),"↻ "&amp;G17,""),IF(F17&lt;TODAY(),"Просрочено на "&amp;(TODAY()-F17)&amp;" дн.",IF(F17=TODAY(),"Сегодня",IF(F17=TODAY()+1,"Завтра","Через "&amp;(F17-TODAY())&amp;" дн.")))))</f>
        <v/>
      </c>
    </row>
    <row r="18" customFormat="false" ht="21.75" hidden="false" customHeight="true" outlineLevel="0" collapsed="false">
      <c r="A18" s="12" t="s">
        <v>57</v>
      </c>
      <c r="B18" s="12" t="s">
        <v>58</v>
      </c>
      <c r="C18" s="13" t="s">
        <v>59</v>
      </c>
      <c r="D18" s="13" t="s">
        <v>39</v>
      </c>
      <c r="E18" s="14"/>
      <c r="F18" s="14" t="n">
        <v>46301</v>
      </c>
      <c r="G18" s="13" t="s">
        <v>24</v>
      </c>
      <c r="H18" s="13" t="s">
        <v>25</v>
      </c>
      <c r="I18" s="12"/>
      <c r="J18" s="15" t="str">
        <f aca="true">IF(OR(A18="",D18="Выполнено"),"",IF(F18="",IF(AND(G18&lt;&gt;"",G18&lt;&gt;"Разово"),"↻ "&amp;G18,""),IF(F18&lt;TODAY(),"Просрочено на "&amp;(TODAY()-F18)&amp;" дн.",IF(F18=TODAY(),"Сегодня",IF(F18=TODAY()+1,"Завтра","Через "&amp;(F18-TODAY())&amp;" дн.")))))</f>
        <v>Сегодня</v>
      </c>
    </row>
    <row r="19" customFormat="false" ht="21.75" hidden="false" customHeight="true" outlineLevel="0" collapsed="false">
      <c r="A19" s="12" t="s">
        <v>60</v>
      </c>
      <c r="B19" s="12" t="s">
        <v>58</v>
      </c>
      <c r="C19" s="13" t="s">
        <v>59</v>
      </c>
      <c r="D19" s="13" t="s">
        <v>39</v>
      </c>
      <c r="E19" s="14"/>
      <c r="F19" s="14" t="n">
        <v>46302</v>
      </c>
      <c r="G19" s="13" t="s">
        <v>24</v>
      </c>
      <c r="H19" s="13" t="s">
        <v>61</v>
      </c>
      <c r="I19" s="12"/>
      <c r="J19" s="15" t="str">
        <f aca="true">IF(OR(A19="",D19="Выполнено"),"",IF(F19="",IF(AND(G19&lt;&gt;"",G19&lt;&gt;"Разово"),"↻ "&amp;G19,""),IF(F19&lt;TODAY(),"Просрочено на "&amp;(TODAY()-F19)&amp;" дн.",IF(F19=TODAY(),"Сегодня",IF(F19=TODAY()+1,"Завтра","Через "&amp;(F19-TODAY())&amp;" дн.")))))</f>
        <v>Завтра</v>
      </c>
    </row>
    <row r="20" customFormat="false" ht="21.75" hidden="false" customHeight="true" outlineLevel="0" collapsed="false">
      <c r="A20" s="12" t="s">
        <v>62</v>
      </c>
      <c r="B20" s="12" t="s">
        <v>49</v>
      </c>
      <c r="C20" s="13" t="s">
        <v>59</v>
      </c>
      <c r="D20" s="13" t="s">
        <v>39</v>
      </c>
      <c r="E20" s="14"/>
      <c r="F20" s="14" t="n">
        <v>46302</v>
      </c>
      <c r="G20" s="13" t="s">
        <v>24</v>
      </c>
      <c r="H20" s="13" t="s">
        <v>54</v>
      </c>
      <c r="I20" s="12" t="s">
        <v>63</v>
      </c>
      <c r="J20" s="15" t="str">
        <f aca="true">IF(OR(A20="",D20="Выполнено"),"",IF(F20="",IF(AND(G20&lt;&gt;"",G20&lt;&gt;"Разово"),"↻ "&amp;G20,""),IF(F20&lt;TODAY(),"Просрочено на "&amp;(TODAY()-F20)&amp;" дн.",IF(F20=TODAY(),"Сегодня",IF(F20=TODAY()+1,"Завтра","Через "&amp;(F20-TODAY())&amp;" дн.")))))</f>
        <v>Завтра</v>
      </c>
    </row>
    <row r="21" customFormat="false" ht="21.75" hidden="false" customHeight="true" outlineLevel="0" collapsed="false">
      <c r="A21" s="12" t="s">
        <v>64</v>
      </c>
      <c r="B21" s="12" t="s">
        <v>49</v>
      </c>
      <c r="C21" s="13" t="s">
        <v>59</v>
      </c>
      <c r="D21" s="13" t="s">
        <v>65</v>
      </c>
      <c r="E21" s="14"/>
      <c r="F21" s="14" t="n">
        <v>46301</v>
      </c>
      <c r="G21" s="13" t="s">
        <v>24</v>
      </c>
      <c r="H21" s="13" t="s">
        <v>66</v>
      </c>
      <c r="I21" s="12"/>
      <c r="J21" s="15" t="str">
        <f aca="true">IF(OR(A21="",D21="Выполнено"),"",IF(F21="",IF(AND(G21&lt;&gt;"",G21&lt;&gt;"Разово"),"↻ "&amp;G21,""),IF(F21&lt;TODAY(),"Просрочено на "&amp;(TODAY()-F21)&amp;" дн.",IF(F21=TODAY(),"Сегодня",IF(F21=TODAY()+1,"Завтра","Через "&amp;(F21-TODAY())&amp;" дн.")))))</f>
        <v>Сегодня</v>
      </c>
    </row>
    <row r="22" customFormat="false" ht="33" hidden="false" customHeight="true" outlineLevel="0" collapsed="false">
      <c r="A22" s="12" t="s">
        <v>67</v>
      </c>
      <c r="B22" s="12" t="s">
        <v>21</v>
      </c>
      <c r="C22" s="13" t="s">
        <v>59</v>
      </c>
      <c r="D22" s="13" t="s">
        <v>23</v>
      </c>
      <c r="E22" s="14"/>
      <c r="F22" s="14"/>
      <c r="G22" s="13" t="s">
        <v>30</v>
      </c>
      <c r="H22" s="13" t="s">
        <v>40</v>
      </c>
      <c r="I22" s="12" t="s">
        <v>68</v>
      </c>
      <c r="J22" s="15" t="str">
        <f aca="true">IF(OR(A22="",D22="Выполнено"),"",IF(F22="",IF(AND(G22&lt;&gt;"",G22&lt;&gt;"Разово"),"↻ "&amp;G22,""),IF(F22&lt;TODAY(),"Просрочено на "&amp;(TODAY()-F22)&amp;" дн.",IF(F22=TODAY(),"Сегодня",IF(F22=TODAY()+1,"Завтра","Через "&amp;(F22-TODAY())&amp;" дн.")))))</f>
        <v>↻ Ежедневно</v>
      </c>
    </row>
    <row r="23" customFormat="false" ht="21.75" hidden="false" customHeight="true" outlineLevel="0" collapsed="false">
      <c r="A23" s="12" t="s">
        <v>69</v>
      </c>
      <c r="B23" s="12" t="s">
        <v>44</v>
      </c>
      <c r="C23" s="13" t="s">
        <v>59</v>
      </c>
      <c r="D23" s="13" t="s">
        <v>45</v>
      </c>
      <c r="E23" s="14"/>
      <c r="F23" s="14"/>
      <c r="G23" s="13" t="s">
        <v>24</v>
      </c>
      <c r="H23" s="13" t="s">
        <v>46</v>
      </c>
      <c r="I23" s="12"/>
      <c r="J23" s="15" t="str">
        <f aca="true">IF(OR(A23="",D23="Выполнено"),"",IF(F23="",IF(AND(G23&lt;&gt;"",G23&lt;&gt;"Разово"),"↻ "&amp;G23,""),IF(F23&lt;TODAY(),"Просрочено на "&amp;(TODAY()-F23)&amp;" дн.",IF(F23=TODAY(),"Сегодня",IF(F23=TODAY()+1,"Завтра","Через "&amp;(F23-TODAY())&amp;" дн.")))))</f>
        <v/>
      </c>
    </row>
    <row r="24" customFormat="false" ht="21.75" hidden="false" customHeight="true" outlineLevel="0" collapsed="false">
      <c r="A24" s="12" t="s">
        <v>70</v>
      </c>
      <c r="B24" s="12" t="s">
        <v>21</v>
      </c>
      <c r="C24" s="13"/>
      <c r="D24" s="13" t="s">
        <v>39</v>
      </c>
      <c r="E24" s="14"/>
      <c r="F24" s="14"/>
      <c r="G24" s="13" t="s">
        <v>24</v>
      </c>
      <c r="H24" s="13"/>
      <c r="I24" s="12"/>
      <c r="J24" s="15" t="str">
        <f aca="true">IF(OR(A24="",D24="Выполнено"),"",IF(F24="",IF(AND(G24&lt;&gt;"",G24&lt;&gt;"Разово"),"↻ "&amp;G24,""),IF(F24&lt;TODAY(),"Просрочено на "&amp;(TODAY()-F24)&amp;" дн.",IF(F24=TODAY(),"Сегодня",IF(F24=TODAY()+1,"Завтра","Через "&amp;(F24-TODAY())&amp;" дн.")))))</f>
        <v/>
      </c>
    </row>
    <row r="25" customFormat="false" ht="33" hidden="false" customHeight="true" outlineLevel="0" collapsed="false">
      <c r="A25" s="12" t="s">
        <v>71</v>
      </c>
      <c r="B25" s="12" t="s">
        <v>49</v>
      </c>
      <c r="C25" s="13"/>
      <c r="D25" s="13" t="s">
        <v>39</v>
      </c>
      <c r="E25" s="14"/>
      <c r="F25" s="14"/>
      <c r="G25" s="13" t="s">
        <v>24</v>
      </c>
      <c r="H25" s="13"/>
      <c r="I25" s="12"/>
      <c r="J25" s="15" t="str">
        <f aca="true">IF(OR(A25="",D25="Выполнено"),"",IF(F25="",IF(AND(G25&lt;&gt;"",G25&lt;&gt;"Разово"),"↻ "&amp;G25,""),IF(F25&lt;TODAY(),"Просрочено на "&amp;(TODAY()-F25)&amp;" дн.",IF(F25=TODAY(),"Сегодня",IF(F25=TODAY()+1,"Завтра","Через "&amp;(F25-TODAY())&amp;" дн.")))))</f>
        <v/>
      </c>
    </row>
    <row r="26" customFormat="false" ht="21.75" hidden="false" customHeight="true" outlineLevel="0" collapsed="false">
      <c r="A26" s="12" t="s">
        <v>72</v>
      </c>
      <c r="B26" s="12" t="s">
        <v>49</v>
      </c>
      <c r="C26" s="13"/>
      <c r="D26" s="13" t="s">
        <v>39</v>
      </c>
      <c r="E26" s="14"/>
      <c r="F26" s="14"/>
      <c r="G26" s="13" t="s">
        <v>24</v>
      </c>
      <c r="H26" s="13"/>
      <c r="I26" s="12"/>
      <c r="J26" s="15" t="str">
        <f aca="true">IF(OR(A26="",D26="Выполнено"),"",IF(F26="",IF(AND(G26&lt;&gt;"",G26&lt;&gt;"Разово"),"↻ "&amp;G26,""),IF(F26&lt;TODAY(),"Просрочено на "&amp;(TODAY()-F26)&amp;" дн.",IF(F26=TODAY(),"Сегодня",IF(F26=TODAY()+1,"Завтра","Через "&amp;(F26-TODAY())&amp;" дн.")))))</f>
        <v/>
      </c>
    </row>
    <row r="27" customFormat="false" ht="21.75" hidden="false" customHeight="true" outlineLevel="0" collapsed="false">
      <c r="A27" s="12" t="s">
        <v>73</v>
      </c>
      <c r="B27" s="12" t="s">
        <v>49</v>
      </c>
      <c r="C27" s="13"/>
      <c r="D27" s="13" t="s">
        <v>39</v>
      </c>
      <c r="E27" s="14"/>
      <c r="F27" s="14"/>
      <c r="G27" s="13" t="s">
        <v>24</v>
      </c>
      <c r="H27" s="13"/>
      <c r="I27" s="12"/>
      <c r="J27" s="15" t="str">
        <f aca="true">IF(OR(A27="",D27="Выполнено"),"",IF(F27="",IF(AND(G27&lt;&gt;"",G27&lt;&gt;"Разово"),"↻ "&amp;G27,""),IF(F27&lt;TODAY(),"Просрочено на "&amp;(TODAY()-F27)&amp;" дн.",IF(F27=TODAY(),"Сегодня",IF(F27=TODAY()+1,"Завтра","Через "&amp;(F27-TODAY())&amp;" дн.")))))</f>
        <v/>
      </c>
    </row>
    <row r="28" customFormat="false" ht="21.75" hidden="false" customHeight="true" outlineLevel="0" collapsed="false">
      <c r="A28" s="12" t="s">
        <v>74</v>
      </c>
      <c r="B28" s="12" t="s">
        <v>21</v>
      </c>
      <c r="C28" s="13"/>
      <c r="D28" s="13" t="s">
        <v>39</v>
      </c>
      <c r="E28" s="14"/>
      <c r="F28" s="14"/>
      <c r="G28" s="13" t="s">
        <v>24</v>
      </c>
      <c r="H28" s="13"/>
      <c r="I28" s="12"/>
      <c r="J28" s="15" t="str">
        <f aca="true">IF(OR(A28="",D28="Выполнено"),"",IF(F28="",IF(AND(G28&lt;&gt;"",G28&lt;&gt;"Разово"),"↻ "&amp;G28,""),IF(F28&lt;TODAY(),"Просрочено на "&amp;(TODAY()-F28)&amp;" дн.",IF(F28=TODAY(),"Сегодня",IF(F28=TODAY()+1,"Завтра","Через "&amp;(F28-TODAY())&amp;" дн.")))))</f>
        <v/>
      </c>
    </row>
    <row r="29" customFormat="false" ht="21.75" hidden="false" customHeight="true" outlineLevel="0" collapsed="false">
      <c r="A29" s="12" t="s">
        <v>75</v>
      </c>
      <c r="B29" s="12" t="s">
        <v>33</v>
      </c>
      <c r="C29" s="13"/>
      <c r="D29" s="13" t="s">
        <v>39</v>
      </c>
      <c r="E29" s="14"/>
      <c r="F29" s="14"/>
      <c r="G29" s="13" t="s">
        <v>24</v>
      </c>
      <c r="H29" s="13"/>
      <c r="I29" s="12"/>
      <c r="J29" s="15" t="str">
        <f aca="true">IF(OR(A29="",D29="Выполнено"),"",IF(F29="",IF(AND(G29&lt;&gt;"",G29&lt;&gt;"Разово"),"↻ "&amp;G29,""),IF(F29&lt;TODAY(),"Просрочено на "&amp;(TODAY()-F29)&amp;" дн.",IF(F29=TODAY(),"Сегодня",IF(F29=TODAY()+1,"Завтра","Через "&amp;(F29-TODAY())&amp;" дн.")))))</f>
        <v/>
      </c>
    </row>
    <row r="30" customFormat="false" ht="21.75" hidden="false" customHeight="true" outlineLevel="0" collapsed="false">
      <c r="A30" s="12" t="s">
        <v>76</v>
      </c>
      <c r="B30" s="12" t="s">
        <v>49</v>
      </c>
      <c r="C30" s="13"/>
      <c r="D30" s="13" t="s">
        <v>39</v>
      </c>
      <c r="E30" s="14"/>
      <c r="F30" s="14"/>
      <c r="G30" s="13" t="s">
        <v>24</v>
      </c>
      <c r="H30" s="13"/>
      <c r="I30" s="12"/>
      <c r="J30" s="15" t="str">
        <f aca="true">IF(OR(A30="",D30="Выполнено"),"",IF(F30="",IF(AND(G30&lt;&gt;"",G30&lt;&gt;"Разово"),"↻ "&amp;G30,""),IF(F30&lt;TODAY(),"Просрочено на "&amp;(TODAY()-F30)&amp;" дн.",IF(F30=TODAY(),"Сегодня",IF(F30=TODAY()+1,"Завтра","Через "&amp;(F30-TODAY())&amp;" дн.")))))</f>
        <v/>
      </c>
    </row>
    <row r="31" customFormat="false" ht="33" hidden="false" customHeight="true" outlineLevel="0" collapsed="false">
      <c r="A31" s="12" t="s">
        <v>77</v>
      </c>
      <c r="B31" s="12" t="s">
        <v>49</v>
      </c>
      <c r="C31" s="13"/>
      <c r="D31" s="13" t="s">
        <v>39</v>
      </c>
      <c r="E31" s="14"/>
      <c r="F31" s="14"/>
      <c r="G31" s="13" t="s">
        <v>24</v>
      </c>
      <c r="H31" s="13"/>
      <c r="I31" s="12"/>
      <c r="J31" s="15" t="str">
        <f aca="true">IF(OR(A31="",D31="Выполнено"),"",IF(F31="",IF(AND(G31&lt;&gt;"",G31&lt;&gt;"Разово"),"↻ "&amp;G31,""),IF(F31&lt;TODAY(),"Просрочено на "&amp;(TODAY()-F31)&amp;" дн.",IF(F31=TODAY(),"Сегодня",IF(F31=TODAY()+1,"Завтра","Через "&amp;(F31-TODAY())&amp;" дн.")))))</f>
        <v/>
      </c>
    </row>
    <row r="32" customFormat="false" ht="21.75" hidden="false" customHeight="true" outlineLevel="0" collapsed="false">
      <c r="A32" s="12" t="s">
        <v>78</v>
      </c>
      <c r="B32" s="12" t="s">
        <v>21</v>
      </c>
      <c r="C32" s="13"/>
      <c r="D32" s="13" t="s">
        <v>39</v>
      </c>
      <c r="E32" s="14"/>
      <c r="F32" s="14"/>
      <c r="G32" s="13" t="s">
        <v>24</v>
      </c>
      <c r="H32" s="13"/>
      <c r="I32" s="12"/>
      <c r="J32" s="15" t="str">
        <f aca="true">IF(OR(A32="",D32="Выполнено"),"",IF(F32="",IF(AND(G32&lt;&gt;"",G32&lt;&gt;"Разово"),"↻ "&amp;G32,""),IF(F32&lt;TODAY(),"Просрочено на "&amp;(TODAY()-F32)&amp;" дн.",IF(F32=TODAY(),"Сегодня",IF(F32=TODAY()+1,"Завтра","Через "&amp;(F32-TODAY())&amp;" дн.")))))</f>
        <v/>
      </c>
    </row>
    <row r="33" customFormat="false" ht="21.75" hidden="false" customHeight="true" outlineLevel="0" collapsed="false">
      <c r="A33" s="12" t="s">
        <v>79</v>
      </c>
      <c r="B33" s="12"/>
      <c r="C33" s="13"/>
      <c r="D33" s="13" t="s">
        <v>39</v>
      </c>
      <c r="E33" s="14"/>
      <c r="F33" s="14"/>
      <c r="G33" s="13" t="s">
        <v>24</v>
      </c>
      <c r="H33" s="13"/>
      <c r="I33" s="12"/>
      <c r="J33" s="15" t="str">
        <f aca="true">IF(OR(A33="",D33="Выполнено"),"",IF(F33="",IF(AND(G33&lt;&gt;"",G33&lt;&gt;"Разово"),"↻ "&amp;G33,""),IF(F33&lt;TODAY(),"Просрочено на "&amp;(TODAY()-F33)&amp;" дн.",IF(F33=TODAY(),"Сегодня",IF(F33=TODAY()+1,"Завтра","Через "&amp;(F33-TODAY())&amp;" дн.")))))</f>
        <v/>
      </c>
    </row>
    <row r="34" customFormat="false" ht="33" hidden="false" customHeight="true" outlineLevel="0" collapsed="false">
      <c r="A34" s="12" t="s">
        <v>80</v>
      </c>
      <c r="B34" s="12" t="s">
        <v>21</v>
      </c>
      <c r="C34" s="13"/>
      <c r="D34" s="13" t="s">
        <v>39</v>
      </c>
      <c r="E34" s="14"/>
      <c r="F34" s="14"/>
      <c r="G34" s="13" t="s">
        <v>24</v>
      </c>
      <c r="H34" s="13"/>
      <c r="I34" s="12"/>
      <c r="J34" s="15" t="str">
        <f aca="true">IF(OR(A34="",D34="Выполнено"),"",IF(F34="",IF(AND(G34&lt;&gt;"",G34&lt;&gt;"Разово"),"↻ "&amp;G34,""),IF(F34&lt;TODAY(),"Просрочено на "&amp;(TODAY()-F34)&amp;" дн.",IF(F34=TODAY(),"Сегодня",IF(F34=TODAY()+1,"Завтра","Через "&amp;(F34-TODAY())&amp;" дн.")))))</f>
        <v/>
      </c>
    </row>
    <row r="35" customFormat="false" ht="33" hidden="false" customHeight="true" outlineLevel="0" collapsed="false">
      <c r="A35" s="12" t="s">
        <v>81</v>
      </c>
      <c r="B35" s="12" t="s">
        <v>21</v>
      </c>
      <c r="C35" s="13"/>
      <c r="D35" s="13" t="s">
        <v>39</v>
      </c>
      <c r="E35" s="14"/>
      <c r="F35" s="14"/>
      <c r="G35" s="13" t="s">
        <v>24</v>
      </c>
      <c r="H35" s="13"/>
      <c r="I35" s="12"/>
      <c r="J35" s="15" t="str">
        <f aca="true">IF(OR(A35="",D35="Выполнено"),"",IF(F35="",IF(AND(G35&lt;&gt;"",G35&lt;&gt;"Разово"),"↻ "&amp;G35,""),IF(F35&lt;TODAY(),"Просрочено на "&amp;(TODAY()-F35)&amp;" дн.",IF(F35=TODAY(),"Сегодня",IF(F35=TODAY()+1,"Завтра","Через "&amp;(F35-TODAY())&amp;" дн.")))))</f>
        <v/>
      </c>
    </row>
    <row r="36" customFormat="false" ht="21.75" hidden="false" customHeight="true" outlineLevel="0" collapsed="false">
      <c r="A36" s="12" t="s">
        <v>82</v>
      </c>
      <c r="B36" s="12" t="s">
        <v>83</v>
      </c>
      <c r="C36" s="13" t="s">
        <v>22</v>
      </c>
      <c r="D36" s="13" t="s">
        <v>84</v>
      </c>
      <c r="E36" s="14"/>
      <c r="F36" s="14" t="n">
        <v>46301</v>
      </c>
      <c r="G36" s="13" t="s">
        <v>24</v>
      </c>
      <c r="H36" s="13" t="s">
        <v>25</v>
      </c>
      <c r="I36" s="12"/>
      <c r="J36" s="15" t="str">
        <f aca="true">IF(OR(A36="",D36="Выполнено"),"",IF(F36="",IF(AND(G36&lt;&gt;"",G36&lt;&gt;"Разово"),"↻ "&amp;G36,""),IF(F36&lt;TODAY(),"Просрочено на "&amp;(TODAY()-F36)&amp;" дн.",IF(F36=TODAY(),"Сегодня",IF(F36=TODAY()+1,"Завтра","Через "&amp;(F36-TODAY())&amp;" дн.")))))</f>
        <v/>
      </c>
    </row>
    <row r="37" customFormat="false" ht="46.5" hidden="false" customHeight="true" outlineLevel="0" collapsed="false">
      <c r="A37" s="12" t="s">
        <v>85</v>
      </c>
      <c r="B37" s="12" t="s">
        <v>21</v>
      </c>
      <c r="C37" s="13" t="s">
        <v>22</v>
      </c>
      <c r="D37" s="13" t="s">
        <v>84</v>
      </c>
      <c r="E37" s="14"/>
      <c r="F37" s="14" t="n">
        <v>46302</v>
      </c>
      <c r="G37" s="13" t="s">
        <v>24</v>
      </c>
      <c r="H37" s="13" t="s">
        <v>40</v>
      </c>
      <c r="I37" s="12" t="s">
        <v>86</v>
      </c>
      <c r="J37" s="15" t="str">
        <f aca="true">IF(OR(A37="",D37="Выполнено"),"",IF(F37="",IF(AND(G37&lt;&gt;"",G37&lt;&gt;"Разово"),"↻ "&amp;G37,""),IF(F37&lt;TODAY(),"Просрочено на "&amp;(TODAY()-F37)&amp;" дн.",IF(F37=TODAY(),"Сегодня",IF(F37=TODAY()+1,"Завтра","Через "&amp;(F37-TODAY())&amp;" дн.")))))</f>
        <v/>
      </c>
    </row>
    <row r="38" customFormat="false" ht="33" hidden="false" customHeight="true" outlineLevel="0" collapsed="false">
      <c r="A38" s="12" t="s">
        <v>87</v>
      </c>
      <c r="B38" s="12" t="s">
        <v>21</v>
      </c>
      <c r="C38" s="13" t="s">
        <v>22</v>
      </c>
      <c r="D38" s="13" t="s">
        <v>84</v>
      </c>
      <c r="E38" s="14"/>
      <c r="F38" s="14" t="n">
        <v>46301</v>
      </c>
      <c r="G38" s="13" t="s">
        <v>24</v>
      </c>
      <c r="H38" s="13"/>
      <c r="I38" s="12"/>
      <c r="J38" s="15" t="str">
        <f aca="true">IF(OR(A38="",D38="Выполнено"),"",IF(F38="",IF(AND(G38&lt;&gt;"",G38&lt;&gt;"Разово"),"↻ "&amp;G38,""),IF(F38&lt;TODAY(),"Просрочено на "&amp;(TODAY()-F38)&amp;" дн.",IF(F38=TODAY(),"Сегодня",IF(F38=TODAY()+1,"Завтра","Через "&amp;(F38-TODAY())&amp;" дн.")))))</f>
        <v/>
      </c>
    </row>
    <row r="39" customFormat="false" ht="21.75" hidden="false" customHeight="true" outlineLevel="0" collapsed="false">
      <c r="A39" s="12" t="s">
        <v>88</v>
      </c>
      <c r="B39" s="12" t="s">
        <v>49</v>
      </c>
      <c r="C39" s="13" t="s">
        <v>22</v>
      </c>
      <c r="D39" s="13" t="s">
        <v>84</v>
      </c>
      <c r="E39" s="14"/>
      <c r="F39" s="14" t="n">
        <v>46302</v>
      </c>
      <c r="G39" s="13" t="s">
        <v>24</v>
      </c>
      <c r="H39" s="13" t="s">
        <v>54</v>
      </c>
      <c r="I39" s="12"/>
      <c r="J39" s="15" t="str">
        <f aca="true">IF(OR(A39="",D39="Выполнено"),"",IF(F39="",IF(AND(G39&lt;&gt;"",G39&lt;&gt;"Разово"),"↻ "&amp;G39,""),IF(F39&lt;TODAY(),"Просрочено на "&amp;(TODAY()-F39)&amp;" дн.",IF(F39=TODAY(),"Сегодня",IF(F39=TODAY()+1,"Завтра","Через "&amp;(F39-TODAY())&amp;" дн.")))))</f>
        <v/>
      </c>
    </row>
    <row r="40" customFormat="false" ht="21.75" hidden="false" customHeight="true" outlineLevel="0" collapsed="false">
      <c r="A40" s="12" t="s">
        <v>89</v>
      </c>
      <c r="B40" s="12" t="s">
        <v>90</v>
      </c>
      <c r="C40" s="13" t="s">
        <v>29</v>
      </c>
      <c r="D40" s="13" t="s">
        <v>84</v>
      </c>
      <c r="E40" s="14"/>
      <c r="F40" s="14"/>
      <c r="G40" s="13" t="s">
        <v>91</v>
      </c>
      <c r="H40" s="13" t="s">
        <v>40</v>
      </c>
      <c r="I40" s="12"/>
      <c r="J40" s="15" t="str">
        <f aca="true">IF(OR(A40="",D40="Выполнено"),"",IF(F40="",IF(AND(G40&lt;&gt;"",G40&lt;&gt;"Разово"),"↻ "&amp;G40,""),IF(F40&lt;TODAY(),"Просрочено на "&amp;(TODAY()-F40)&amp;" дн.",IF(F40=TODAY(),"Сегодня",IF(F40=TODAY()+1,"Завтра","Через "&amp;(F40-TODAY())&amp;" дн.")))))</f>
        <v/>
      </c>
    </row>
    <row r="41" customFormat="false" ht="33" hidden="false" customHeight="true" outlineLevel="0" collapsed="false">
      <c r="A41" s="12" t="s">
        <v>92</v>
      </c>
      <c r="B41" s="12" t="s">
        <v>90</v>
      </c>
      <c r="C41" s="13" t="s">
        <v>29</v>
      </c>
      <c r="D41" s="13" t="s">
        <v>84</v>
      </c>
      <c r="E41" s="14"/>
      <c r="F41" s="14" t="n">
        <v>46301</v>
      </c>
      <c r="G41" s="13" t="s">
        <v>24</v>
      </c>
      <c r="H41" s="13" t="s">
        <v>61</v>
      </c>
      <c r="I41" s="12"/>
      <c r="J41" s="15" t="str">
        <f aca="true">IF(OR(A41="",D41="Выполнено"),"",IF(F41="",IF(AND(G41&lt;&gt;"",G41&lt;&gt;"Разово"),"↻ "&amp;G41,""),IF(F41&lt;TODAY(),"Просрочено на "&amp;(TODAY()-F41)&amp;" дн.",IF(F41=TODAY(),"Сегодня",IF(F41=TODAY()+1,"Завтра","Через "&amp;(F41-TODAY())&amp;" дн.")))))</f>
        <v/>
      </c>
    </row>
    <row r="42" customFormat="false" ht="21.75" hidden="false" customHeight="true" outlineLevel="0" collapsed="false">
      <c r="A42" s="12" t="s">
        <v>93</v>
      </c>
      <c r="B42" s="12" t="s">
        <v>33</v>
      </c>
      <c r="C42" s="13" t="s">
        <v>29</v>
      </c>
      <c r="D42" s="13" t="s">
        <v>84</v>
      </c>
      <c r="E42" s="14"/>
      <c r="F42" s="14" t="n">
        <v>46301</v>
      </c>
      <c r="G42" s="13" t="s">
        <v>24</v>
      </c>
      <c r="H42" s="13" t="s">
        <v>34</v>
      </c>
      <c r="I42" s="12" t="s">
        <v>94</v>
      </c>
      <c r="J42" s="15" t="str">
        <f aca="true">IF(OR(A42="",D42="Выполнено"),"",IF(F42="",IF(AND(G42&lt;&gt;"",G42&lt;&gt;"Разово"),"↻ "&amp;G42,""),IF(F42&lt;TODAY(),"Просрочено на "&amp;(TODAY()-F42)&amp;" дн.",IF(F42=TODAY(),"Сегодня",IF(F42=TODAY()+1,"Завтра","Через "&amp;(F42-TODAY())&amp;" дн.")))))</f>
        <v/>
      </c>
    </row>
    <row r="43" customFormat="false" ht="21.75" hidden="false" customHeight="true" outlineLevel="0" collapsed="false">
      <c r="A43" s="12" t="s">
        <v>95</v>
      </c>
      <c r="B43" s="12" t="s">
        <v>49</v>
      </c>
      <c r="C43" s="13" t="s">
        <v>29</v>
      </c>
      <c r="D43" s="13" t="s">
        <v>84</v>
      </c>
      <c r="E43" s="14"/>
      <c r="F43" s="14" t="n">
        <v>46301</v>
      </c>
      <c r="G43" s="13" t="s">
        <v>24</v>
      </c>
      <c r="H43" s="13" t="s">
        <v>40</v>
      </c>
      <c r="I43" s="12"/>
      <c r="J43" s="15" t="str">
        <f aca="true">IF(OR(A43="",D43="Выполнено"),"",IF(F43="",IF(AND(G43&lt;&gt;"",G43&lt;&gt;"Разово"),"↻ "&amp;G43,""),IF(F43&lt;TODAY(),"Просрочено на "&amp;(TODAY()-F43)&amp;" дн.",IF(F43=TODAY(),"Сегодня",IF(F43=TODAY()+1,"Завтра","Через "&amp;(F43-TODAY())&amp;" дн.")))))</f>
        <v/>
      </c>
    </row>
    <row r="44" customFormat="false" ht="21.75" hidden="false" customHeight="true" outlineLevel="0" collapsed="false">
      <c r="A44" s="12"/>
      <c r="B44" s="12"/>
      <c r="C44" s="13"/>
      <c r="D44" s="13"/>
      <c r="E44" s="14"/>
      <c r="F44" s="14"/>
      <c r="G44" s="13"/>
      <c r="H44" s="13"/>
      <c r="I44" s="12"/>
      <c r="J44" s="15" t="str">
        <f aca="true">IF(OR(A44="",D44="Выполнено"),"",IF(F44="",IF(AND(G44&lt;&gt;"",G44&lt;&gt;"Разово"),"↻ "&amp;G44,""),IF(F44&lt;TODAY(),"Просрочено на "&amp;(TODAY()-F44)&amp;" дн.",IF(F44=TODAY(),"Сегодня",IF(F44=TODAY()+1,"Завтра","Через "&amp;(F44-TODAY())&amp;" дн.")))))</f>
        <v/>
      </c>
    </row>
    <row r="45" customFormat="false" ht="21.75" hidden="false" customHeight="true" outlineLevel="0" collapsed="false">
      <c r="A45" s="12"/>
      <c r="B45" s="12"/>
      <c r="C45" s="13"/>
      <c r="D45" s="13"/>
      <c r="E45" s="14"/>
      <c r="F45" s="14"/>
      <c r="G45" s="13"/>
      <c r="H45" s="13"/>
      <c r="I45" s="12"/>
      <c r="J45" s="15" t="str">
        <f aca="true">IF(OR(A45="",D45="Выполнено"),"",IF(F45="",IF(AND(G45&lt;&gt;"",G45&lt;&gt;"Разово"),"↻ "&amp;G45,""),IF(F45&lt;TODAY(),"Просрочено на "&amp;(TODAY()-F45)&amp;" дн.",IF(F45=TODAY(),"Сегодня",IF(F45=TODAY()+1,"Завтра","Через "&amp;(F45-TODAY())&amp;" дн.")))))</f>
        <v/>
      </c>
    </row>
    <row r="46" customFormat="false" ht="21.75" hidden="false" customHeight="true" outlineLevel="0" collapsed="false">
      <c r="A46" s="12"/>
      <c r="B46" s="12"/>
      <c r="C46" s="13"/>
      <c r="D46" s="13"/>
      <c r="E46" s="14"/>
      <c r="F46" s="14"/>
      <c r="G46" s="13"/>
      <c r="H46" s="13"/>
      <c r="I46" s="12"/>
      <c r="J46" s="15" t="str">
        <f aca="true">IF(OR(A46="",D46="Выполнено"),"",IF(F46="",IF(AND(G46&lt;&gt;"",G46&lt;&gt;"Разово"),"↻ "&amp;G46,""),IF(F46&lt;TODAY(),"Просрочено на "&amp;(TODAY()-F46)&amp;" дн.",IF(F46=TODAY(),"Сегодня",IF(F46=TODAY()+1,"Завтра","Через "&amp;(F46-TODAY())&amp;" дн.")))))</f>
        <v/>
      </c>
    </row>
    <row r="47" customFormat="false" ht="21.75" hidden="false" customHeight="true" outlineLevel="0" collapsed="false">
      <c r="A47" s="12"/>
      <c r="B47" s="12"/>
      <c r="C47" s="13"/>
      <c r="D47" s="13"/>
      <c r="E47" s="14"/>
      <c r="F47" s="14"/>
      <c r="G47" s="13"/>
      <c r="H47" s="13"/>
      <c r="I47" s="12"/>
      <c r="J47" s="15" t="str">
        <f aca="true">IF(OR(A47="",D47="Выполнено"),"",IF(F47="",IF(AND(G47&lt;&gt;"",G47&lt;&gt;"Разово"),"↻ "&amp;G47,""),IF(F47&lt;TODAY(),"Просрочено на "&amp;(TODAY()-F47)&amp;" дн.",IF(F47=TODAY(),"Сегодня",IF(F47=TODAY()+1,"Завтра","Через "&amp;(F47-TODAY())&amp;" дн.")))))</f>
        <v/>
      </c>
    </row>
    <row r="48" customFormat="false" ht="21.75" hidden="false" customHeight="true" outlineLevel="0" collapsed="false">
      <c r="A48" s="12"/>
      <c r="B48" s="12"/>
      <c r="C48" s="13"/>
      <c r="D48" s="13"/>
      <c r="E48" s="14"/>
      <c r="F48" s="14"/>
      <c r="G48" s="13"/>
      <c r="H48" s="13"/>
      <c r="I48" s="12"/>
      <c r="J48" s="15" t="str">
        <f aca="true">IF(OR(A48="",D48="Выполнено"),"",IF(F48="",IF(AND(G48&lt;&gt;"",G48&lt;&gt;"Разово"),"↻ "&amp;G48,""),IF(F48&lt;TODAY(),"Просрочено на "&amp;(TODAY()-F48)&amp;" дн.",IF(F48=TODAY(),"Сегодня",IF(F48=TODAY()+1,"Завтра","Через "&amp;(F48-TODAY())&amp;" дн.")))))</f>
        <v/>
      </c>
    </row>
    <row r="49" customFormat="false" ht="21.75" hidden="false" customHeight="true" outlineLevel="0" collapsed="false">
      <c r="A49" s="12"/>
      <c r="B49" s="12"/>
      <c r="C49" s="13"/>
      <c r="D49" s="13"/>
      <c r="E49" s="14"/>
      <c r="F49" s="14"/>
      <c r="G49" s="13"/>
      <c r="H49" s="13"/>
      <c r="I49" s="12"/>
      <c r="J49" s="15" t="str">
        <f aca="true">IF(OR(A49="",D49="Выполнено"),"",IF(F49="",IF(AND(G49&lt;&gt;"",G49&lt;&gt;"Разово"),"↻ "&amp;G49,""),IF(F49&lt;TODAY(),"Просрочено на "&amp;(TODAY()-F49)&amp;" дн.",IF(F49=TODAY(),"Сегодня",IF(F49=TODAY()+1,"Завтра","Через "&amp;(F49-TODAY())&amp;" дн.")))))</f>
        <v/>
      </c>
    </row>
    <row r="50" customFormat="false" ht="21.75" hidden="false" customHeight="true" outlineLevel="0" collapsed="false">
      <c r="A50" s="12"/>
      <c r="B50" s="12"/>
      <c r="C50" s="13"/>
      <c r="D50" s="13"/>
      <c r="E50" s="14"/>
      <c r="F50" s="14"/>
      <c r="G50" s="13"/>
      <c r="H50" s="13"/>
      <c r="I50" s="12"/>
      <c r="J50" s="15" t="str">
        <f aca="true">IF(OR(A50="",D50="Выполнено"),"",IF(F50="",IF(AND(G50&lt;&gt;"",G50&lt;&gt;"Разово"),"↻ "&amp;G50,""),IF(F50&lt;TODAY(),"Просрочено на "&amp;(TODAY()-F50)&amp;" дн.",IF(F50=TODAY(),"Сегодня",IF(F50=TODAY()+1,"Завтра","Через "&amp;(F50-TODAY())&amp;" дн.")))))</f>
        <v/>
      </c>
    </row>
    <row r="51" customFormat="false" ht="21.75" hidden="false" customHeight="true" outlineLevel="0" collapsed="false">
      <c r="A51" s="12"/>
      <c r="B51" s="12"/>
      <c r="C51" s="13"/>
      <c r="D51" s="13"/>
      <c r="E51" s="14"/>
      <c r="F51" s="14"/>
      <c r="G51" s="13"/>
      <c r="H51" s="13"/>
      <c r="I51" s="12"/>
      <c r="J51" s="15" t="str">
        <f aca="true">IF(OR(A51="",D51="Выполнено"),"",IF(F51="",IF(AND(G51&lt;&gt;"",G51&lt;&gt;"Разово"),"↻ "&amp;G51,""),IF(F51&lt;TODAY(),"Просрочено на "&amp;(TODAY()-F51)&amp;" дн.",IF(F51=TODAY(),"Сегодня",IF(F51=TODAY()+1,"Завтра","Через "&amp;(F51-TODAY())&amp;" дн.")))))</f>
        <v/>
      </c>
    </row>
    <row r="52" customFormat="false" ht="21.75" hidden="false" customHeight="true" outlineLevel="0" collapsed="false">
      <c r="A52" s="12"/>
      <c r="B52" s="12"/>
      <c r="C52" s="13"/>
      <c r="D52" s="13"/>
      <c r="E52" s="14"/>
      <c r="F52" s="14"/>
      <c r="G52" s="13"/>
      <c r="H52" s="13"/>
      <c r="I52" s="12"/>
      <c r="J52" s="15" t="str">
        <f aca="true">IF(OR(A52="",D52="Выполнено"),"",IF(F52="",IF(AND(G52&lt;&gt;"",G52&lt;&gt;"Разово"),"↻ "&amp;G52,""),IF(F52&lt;TODAY(),"Просрочено на "&amp;(TODAY()-F52)&amp;" дн.",IF(F52=TODAY(),"Сегодня",IF(F52=TODAY()+1,"Завтра","Через "&amp;(F52-TODAY())&amp;" дн.")))))</f>
        <v/>
      </c>
    </row>
    <row r="53" customFormat="false" ht="21.75" hidden="false" customHeight="true" outlineLevel="0" collapsed="false">
      <c r="A53" s="12"/>
      <c r="B53" s="12"/>
      <c r="C53" s="13"/>
      <c r="D53" s="13"/>
      <c r="E53" s="14"/>
      <c r="F53" s="14"/>
      <c r="G53" s="13"/>
      <c r="H53" s="13"/>
      <c r="I53" s="12"/>
      <c r="J53" s="15" t="str">
        <f aca="true">IF(OR(A53="",D53="Выполнено"),"",IF(F53="",IF(AND(G53&lt;&gt;"",G53&lt;&gt;"Разово"),"↻ "&amp;G53,""),IF(F53&lt;TODAY(),"Просрочено на "&amp;(TODAY()-F53)&amp;" дн.",IF(F53=TODAY(),"Сегодня",IF(F53=TODAY()+1,"Завтра","Через "&amp;(F53-TODAY())&amp;" дн.")))))</f>
        <v/>
      </c>
    </row>
    <row r="54" customFormat="false" ht="21.75" hidden="false" customHeight="true" outlineLevel="0" collapsed="false">
      <c r="A54" s="12"/>
      <c r="B54" s="12"/>
      <c r="C54" s="13"/>
      <c r="D54" s="13"/>
      <c r="E54" s="14"/>
      <c r="F54" s="14"/>
      <c r="G54" s="13"/>
      <c r="H54" s="13"/>
      <c r="I54" s="12"/>
      <c r="J54" s="15" t="str">
        <f aca="true">IF(OR(A54="",D54="Выполнено"),"",IF(F54="",IF(AND(G54&lt;&gt;"",G54&lt;&gt;"Разово"),"↻ "&amp;G54,""),IF(F54&lt;TODAY(),"Просрочено на "&amp;(TODAY()-F54)&amp;" дн.",IF(F54=TODAY(),"Сегодня",IF(F54=TODAY()+1,"Завтра","Через "&amp;(F54-TODAY())&amp;" дн.")))))</f>
        <v/>
      </c>
    </row>
    <row r="55" customFormat="false" ht="21.75" hidden="false" customHeight="true" outlineLevel="0" collapsed="false">
      <c r="A55" s="12"/>
      <c r="B55" s="12"/>
      <c r="C55" s="13"/>
      <c r="D55" s="13"/>
      <c r="E55" s="14"/>
      <c r="F55" s="14"/>
      <c r="G55" s="13"/>
      <c r="H55" s="13"/>
      <c r="I55" s="12"/>
      <c r="J55" s="15" t="str">
        <f aca="true">IF(OR(A55="",D55="Выполнено"),"",IF(F55="",IF(AND(G55&lt;&gt;"",G55&lt;&gt;"Разово"),"↻ "&amp;G55,""),IF(F55&lt;TODAY(),"Просрочено на "&amp;(TODAY()-F55)&amp;" дн.",IF(F55=TODAY(),"Сегодня",IF(F55=TODAY()+1,"Завтра","Через "&amp;(F55-TODAY())&amp;" дн.")))))</f>
        <v/>
      </c>
    </row>
    <row r="56" customFormat="false" ht="21.75" hidden="false" customHeight="true" outlineLevel="0" collapsed="false">
      <c r="A56" s="12"/>
      <c r="B56" s="12"/>
      <c r="C56" s="13"/>
      <c r="D56" s="13"/>
      <c r="E56" s="14"/>
      <c r="F56" s="14"/>
      <c r="G56" s="13"/>
      <c r="H56" s="13"/>
      <c r="I56" s="12"/>
      <c r="J56" s="15" t="str">
        <f aca="true">IF(OR(A56="",D56="Выполнено"),"",IF(F56="",IF(AND(G56&lt;&gt;"",G56&lt;&gt;"Разово"),"↻ "&amp;G56,""),IF(F56&lt;TODAY(),"Просрочено на "&amp;(TODAY()-F56)&amp;" дн.",IF(F56=TODAY(),"Сегодня",IF(F56=TODAY()+1,"Завтра","Через "&amp;(F56-TODAY())&amp;" дн.")))))</f>
        <v/>
      </c>
    </row>
    <row r="57" customFormat="false" ht="21.75" hidden="false" customHeight="true" outlineLevel="0" collapsed="false">
      <c r="A57" s="12"/>
      <c r="B57" s="12"/>
      <c r="C57" s="13"/>
      <c r="D57" s="13"/>
      <c r="E57" s="14"/>
      <c r="F57" s="14"/>
      <c r="G57" s="13"/>
      <c r="H57" s="13"/>
      <c r="I57" s="12"/>
      <c r="J57" s="15" t="str">
        <f aca="true">IF(OR(A57="",D57="Выполнено"),"",IF(F57="",IF(AND(G57&lt;&gt;"",G57&lt;&gt;"Разово"),"↻ "&amp;G57,""),IF(F57&lt;TODAY(),"Просрочено на "&amp;(TODAY()-F57)&amp;" дн.",IF(F57=TODAY(),"Сегодня",IF(F57=TODAY()+1,"Завтра","Через "&amp;(F57-TODAY())&amp;" дн.")))))</f>
        <v/>
      </c>
    </row>
    <row r="58" customFormat="false" ht="21.75" hidden="false" customHeight="true" outlineLevel="0" collapsed="false">
      <c r="A58" s="12"/>
      <c r="B58" s="12"/>
      <c r="C58" s="13"/>
      <c r="D58" s="13"/>
      <c r="E58" s="14"/>
      <c r="F58" s="14"/>
      <c r="G58" s="13"/>
      <c r="H58" s="13"/>
      <c r="I58" s="12"/>
      <c r="J58" s="15" t="str">
        <f aca="true">IF(OR(A58="",D58="Выполнено"),"",IF(F58="",IF(AND(G58&lt;&gt;"",G58&lt;&gt;"Разово"),"↻ "&amp;G58,""),IF(F58&lt;TODAY(),"Просрочено на "&amp;(TODAY()-F58)&amp;" дн.",IF(F58=TODAY(),"Сегодня",IF(F58=TODAY()+1,"Завтра","Через "&amp;(F58-TODAY())&amp;" дн.")))))</f>
        <v/>
      </c>
    </row>
    <row r="59" customFormat="false" ht="21.75" hidden="false" customHeight="true" outlineLevel="0" collapsed="false">
      <c r="A59" s="12"/>
      <c r="B59" s="12"/>
      <c r="C59" s="13"/>
      <c r="D59" s="13"/>
      <c r="E59" s="14"/>
      <c r="F59" s="14"/>
      <c r="G59" s="13"/>
      <c r="H59" s="13"/>
      <c r="I59" s="12"/>
      <c r="J59" s="15" t="str">
        <f aca="true">IF(OR(A59="",D59="Выполнено"),"",IF(F59="",IF(AND(G59&lt;&gt;"",G59&lt;&gt;"Разово"),"↻ "&amp;G59,""),IF(F59&lt;TODAY(),"Просрочено на "&amp;(TODAY()-F59)&amp;" дн.",IF(F59=TODAY(),"Сегодня",IF(F59=TODAY()+1,"Завтра","Через "&amp;(F59-TODAY())&amp;" дн.")))))</f>
        <v/>
      </c>
    </row>
    <row r="60" customFormat="false" ht="21.75" hidden="false" customHeight="true" outlineLevel="0" collapsed="false">
      <c r="A60" s="12"/>
      <c r="B60" s="12"/>
      <c r="C60" s="13"/>
      <c r="D60" s="13"/>
      <c r="E60" s="14"/>
      <c r="F60" s="14"/>
      <c r="G60" s="13"/>
      <c r="H60" s="13"/>
      <c r="I60" s="12"/>
      <c r="J60" s="15" t="str">
        <f aca="true">IF(OR(A60="",D60="Выполнено"),"",IF(F60="",IF(AND(G60&lt;&gt;"",G60&lt;&gt;"Разово"),"↻ "&amp;G60,""),IF(F60&lt;TODAY(),"Просрочено на "&amp;(TODAY()-F60)&amp;" дн.",IF(F60=TODAY(),"Сегодня",IF(F60=TODAY()+1,"Завтра","Через "&amp;(F60-TODAY())&amp;" дн.")))))</f>
        <v/>
      </c>
    </row>
    <row r="61" customFormat="false" ht="21.75" hidden="false" customHeight="true" outlineLevel="0" collapsed="false">
      <c r="A61" s="12"/>
      <c r="B61" s="12"/>
      <c r="C61" s="13"/>
      <c r="D61" s="13"/>
      <c r="E61" s="14"/>
      <c r="F61" s="14"/>
      <c r="G61" s="13"/>
      <c r="H61" s="13"/>
      <c r="I61" s="12"/>
      <c r="J61" s="15" t="str">
        <f aca="true">IF(OR(A61="",D61="Выполнено"),"",IF(F61="",IF(AND(G61&lt;&gt;"",G61&lt;&gt;"Разово"),"↻ "&amp;G61,""),IF(F61&lt;TODAY(),"Просрочено на "&amp;(TODAY()-F61)&amp;" дн.",IF(F61=TODAY(),"Сегодня",IF(F61=TODAY()+1,"Завтра","Через "&amp;(F61-TODAY())&amp;" дн.")))))</f>
        <v/>
      </c>
    </row>
    <row r="62" customFormat="false" ht="21.75" hidden="false" customHeight="true" outlineLevel="0" collapsed="false">
      <c r="A62" s="12"/>
      <c r="B62" s="12"/>
      <c r="C62" s="13"/>
      <c r="D62" s="13"/>
      <c r="E62" s="14"/>
      <c r="F62" s="14"/>
      <c r="G62" s="13"/>
      <c r="H62" s="13"/>
      <c r="I62" s="12"/>
      <c r="J62" s="15" t="str">
        <f aca="true">IF(OR(A62="",D62="Выполнено"),"",IF(F62="",IF(AND(G62&lt;&gt;"",G62&lt;&gt;"Разово"),"↻ "&amp;G62,""),IF(F62&lt;TODAY(),"Просрочено на "&amp;(TODAY()-F62)&amp;" дн.",IF(F62=TODAY(),"Сегодня",IF(F62=TODAY()+1,"Завтра","Через "&amp;(F62-TODAY())&amp;" дн.")))))</f>
        <v/>
      </c>
    </row>
    <row r="63" customFormat="false" ht="21.75" hidden="false" customHeight="true" outlineLevel="0" collapsed="false">
      <c r="A63" s="12"/>
      <c r="B63" s="12"/>
      <c r="C63" s="13"/>
      <c r="D63" s="13"/>
      <c r="E63" s="14"/>
      <c r="F63" s="14"/>
      <c r="G63" s="13"/>
      <c r="H63" s="13"/>
      <c r="I63" s="12"/>
      <c r="J63" s="15" t="str">
        <f aca="true">IF(OR(A63="",D63="Выполнено"),"",IF(F63="",IF(AND(G63&lt;&gt;"",G63&lt;&gt;"Разово"),"↻ "&amp;G63,""),IF(F63&lt;TODAY(),"Просрочено на "&amp;(TODAY()-F63)&amp;" дн.",IF(F63=TODAY(),"Сегодня",IF(F63=TODAY()+1,"Завтра","Через "&amp;(F63-TODAY())&amp;" дн.")))))</f>
        <v/>
      </c>
    </row>
    <row r="64" customFormat="false" ht="21.75" hidden="false" customHeight="true" outlineLevel="0" collapsed="false">
      <c r="A64" s="12"/>
      <c r="B64" s="12"/>
      <c r="C64" s="13"/>
      <c r="D64" s="13"/>
      <c r="E64" s="14"/>
      <c r="F64" s="14"/>
      <c r="G64" s="13"/>
      <c r="H64" s="13"/>
      <c r="I64" s="12"/>
      <c r="J64" s="15" t="str">
        <f aca="true">IF(OR(A64="",D64="Выполнено"),"",IF(F64="",IF(AND(G64&lt;&gt;"",G64&lt;&gt;"Разово"),"↻ "&amp;G64,""),IF(F64&lt;TODAY(),"Просрочено на "&amp;(TODAY()-F64)&amp;" дн.",IF(F64=TODAY(),"Сегодня",IF(F64=TODAY()+1,"Завтра","Через "&amp;(F64-TODAY())&amp;" дн.")))))</f>
        <v/>
      </c>
    </row>
    <row r="65" customFormat="false" ht="21.75" hidden="false" customHeight="true" outlineLevel="0" collapsed="false">
      <c r="A65" s="12"/>
      <c r="B65" s="12"/>
      <c r="C65" s="13"/>
      <c r="D65" s="13"/>
      <c r="E65" s="14"/>
      <c r="F65" s="14"/>
      <c r="G65" s="13"/>
      <c r="H65" s="13"/>
      <c r="I65" s="12"/>
      <c r="J65" s="15" t="str">
        <f aca="true">IF(OR(A65="",D65="Выполнено"),"",IF(F65="",IF(AND(G65&lt;&gt;"",G65&lt;&gt;"Разово"),"↻ "&amp;G65,""),IF(F65&lt;TODAY(),"Просрочено на "&amp;(TODAY()-F65)&amp;" дн.",IF(F65=TODAY(),"Сегодня",IF(F65=TODAY()+1,"Завтра","Через "&amp;(F65-TODAY())&amp;" дн.")))))</f>
        <v/>
      </c>
    </row>
    <row r="66" customFormat="false" ht="21.75" hidden="false" customHeight="true" outlineLevel="0" collapsed="false">
      <c r="A66" s="12"/>
      <c r="B66" s="12"/>
      <c r="C66" s="13"/>
      <c r="D66" s="13"/>
      <c r="E66" s="14"/>
      <c r="F66" s="14"/>
      <c r="G66" s="13"/>
      <c r="H66" s="13"/>
      <c r="I66" s="12"/>
      <c r="J66" s="15" t="str">
        <f aca="true">IF(OR(A66="",D66="Выполнено"),"",IF(F66="",IF(AND(G66&lt;&gt;"",G66&lt;&gt;"Разово"),"↻ "&amp;G66,""),IF(F66&lt;TODAY(),"Просрочено на "&amp;(TODAY()-F66)&amp;" дн.",IF(F66=TODAY(),"Сегодня",IF(F66=TODAY()+1,"Завтра","Через "&amp;(F66-TODAY())&amp;" дн.")))))</f>
        <v/>
      </c>
    </row>
    <row r="67" customFormat="false" ht="21.75" hidden="false" customHeight="true" outlineLevel="0" collapsed="false">
      <c r="A67" s="12"/>
      <c r="B67" s="12"/>
      <c r="C67" s="13"/>
      <c r="D67" s="13"/>
      <c r="E67" s="14"/>
      <c r="F67" s="14"/>
      <c r="G67" s="13"/>
      <c r="H67" s="13"/>
      <c r="I67" s="12"/>
      <c r="J67" s="15" t="str">
        <f aca="true">IF(OR(A67="",D67="Выполнено"),"",IF(F67="",IF(AND(G67&lt;&gt;"",G67&lt;&gt;"Разово"),"↻ "&amp;G67,""),IF(F67&lt;TODAY(),"Просрочено на "&amp;(TODAY()-F67)&amp;" дн.",IF(F67=TODAY(),"Сегодня",IF(F67=TODAY()+1,"Завтра","Через "&amp;(F67-TODAY())&amp;" дн.")))))</f>
        <v/>
      </c>
    </row>
    <row r="68" customFormat="false" ht="21.75" hidden="false" customHeight="true" outlineLevel="0" collapsed="false">
      <c r="A68" s="12"/>
      <c r="B68" s="12"/>
      <c r="C68" s="13"/>
      <c r="D68" s="13"/>
      <c r="E68" s="14"/>
      <c r="F68" s="14"/>
      <c r="G68" s="13"/>
      <c r="H68" s="13"/>
      <c r="I68" s="12"/>
      <c r="J68" s="15" t="str">
        <f aca="true">IF(OR(A68="",D68="Выполнено"),"",IF(F68="",IF(AND(G68&lt;&gt;"",G68&lt;&gt;"Разово"),"↻ "&amp;G68,""),IF(F68&lt;TODAY(),"Просрочено на "&amp;(TODAY()-F68)&amp;" дн.",IF(F68=TODAY(),"Сегодня",IF(F68=TODAY()+1,"Завтра","Через "&amp;(F68-TODAY())&amp;" дн.")))))</f>
        <v/>
      </c>
    </row>
    <row r="69" customFormat="false" ht="21.75" hidden="false" customHeight="true" outlineLevel="0" collapsed="false">
      <c r="A69" s="12"/>
      <c r="B69" s="12"/>
      <c r="C69" s="13"/>
      <c r="D69" s="13"/>
      <c r="E69" s="14"/>
      <c r="F69" s="14"/>
      <c r="G69" s="13"/>
      <c r="H69" s="13"/>
      <c r="I69" s="12"/>
      <c r="J69" s="15" t="str">
        <f aca="true">IF(OR(A69="",D69="Выполнено"),"",IF(F69="",IF(AND(G69&lt;&gt;"",G69&lt;&gt;"Разово"),"↻ "&amp;G69,""),IF(F69&lt;TODAY(),"Просрочено на "&amp;(TODAY()-F69)&amp;" дн.",IF(F69=TODAY(),"Сегодня",IF(F69=TODAY()+1,"Завтра","Через "&amp;(F69-TODAY())&amp;" дн.")))))</f>
        <v/>
      </c>
    </row>
    <row r="70" customFormat="false" ht="21.75" hidden="false" customHeight="true" outlineLevel="0" collapsed="false">
      <c r="A70" s="12"/>
      <c r="B70" s="12"/>
      <c r="C70" s="13"/>
      <c r="D70" s="13"/>
      <c r="E70" s="14"/>
      <c r="F70" s="14"/>
      <c r="G70" s="13"/>
      <c r="H70" s="13"/>
      <c r="I70" s="12"/>
      <c r="J70" s="15" t="str">
        <f aca="true">IF(OR(A70="",D70="Выполнено"),"",IF(F70="",IF(AND(G70&lt;&gt;"",G70&lt;&gt;"Разово"),"↻ "&amp;G70,""),IF(F70&lt;TODAY(),"Просрочено на "&amp;(TODAY()-F70)&amp;" дн.",IF(F70=TODAY(),"Сегодня",IF(F70=TODAY()+1,"Завтра","Через "&amp;(F70-TODAY())&amp;" дн.")))))</f>
        <v/>
      </c>
    </row>
    <row r="71" customFormat="false" ht="21.75" hidden="false" customHeight="true" outlineLevel="0" collapsed="false">
      <c r="A71" s="12"/>
      <c r="B71" s="12"/>
      <c r="C71" s="13"/>
      <c r="D71" s="13"/>
      <c r="E71" s="14"/>
      <c r="F71" s="14"/>
      <c r="G71" s="13"/>
      <c r="H71" s="13"/>
      <c r="I71" s="12"/>
      <c r="J71" s="15" t="str">
        <f aca="true">IF(OR(A71="",D71="Выполнено"),"",IF(F71="",IF(AND(G71&lt;&gt;"",G71&lt;&gt;"Разово"),"↻ "&amp;G71,""),IF(F71&lt;TODAY(),"Просрочено на "&amp;(TODAY()-F71)&amp;" дн.",IF(F71=TODAY(),"Сегодня",IF(F71=TODAY()+1,"Завтра","Через "&amp;(F71-TODAY())&amp;" дн.")))))</f>
        <v/>
      </c>
    </row>
    <row r="72" customFormat="false" ht="21.75" hidden="false" customHeight="true" outlineLevel="0" collapsed="false">
      <c r="A72" s="12"/>
      <c r="B72" s="12"/>
      <c r="C72" s="13"/>
      <c r="D72" s="13"/>
      <c r="E72" s="14"/>
      <c r="F72" s="14"/>
      <c r="G72" s="13"/>
      <c r="H72" s="13"/>
      <c r="I72" s="12"/>
      <c r="J72" s="15" t="str">
        <f aca="true">IF(OR(A72="",D72="Выполнено"),"",IF(F72="",IF(AND(G72&lt;&gt;"",G72&lt;&gt;"Разово"),"↻ "&amp;G72,""),IF(F72&lt;TODAY(),"Просрочено на "&amp;(TODAY()-F72)&amp;" дн.",IF(F72=TODAY(),"Сегодня",IF(F72=TODAY()+1,"Завтра","Через "&amp;(F72-TODAY())&amp;" дн.")))))</f>
        <v/>
      </c>
    </row>
    <row r="73" customFormat="false" ht="21.75" hidden="false" customHeight="true" outlineLevel="0" collapsed="false">
      <c r="A73" s="12"/>
      <c r="B73" s="12"/>
      <c r="C73" s="13"/>
      <c r="D73" s="13"/>
      <c r="E73" s="14"/>
      <c r="F73" s="14"/>
      <c r="G73" s="13"/>
      <c r="H73" s="13"/>
      <c r="I73" s="12"/>
      <c r="J73" s="15" t="str">
        <f aca="true">IF(OR(A73="",D73="Выполнено"),"",IF(F73="",IF(AND(G73&lt;&gt;"",G73&lt;&gt;"Разово"),"↻ "&amp;G73,""),IF(F73&lt;TODAY(),"Просрочено на "&amp;(TODAY()-F73)&amp;" дн.",IF(F73=TODAY(),"Сегодня",IF(F73=TODAY()+1,"Завтра","Через "&amp;(F73-TODAY())&amp;" дн.")))))</f>
        <v/>
      </c>
    </row>
    <row r="74" customFormat="false" ht="21.75" hidden="false" customHeight="true" outlineLevel="0" collapsed="false">
      <c r="A74" s="12"/>
      <c r="B74" s="12"/>
      <c r="C74" s="13"/>
      <c r="D74" s="13"/>
      <c r="E74" s="14"/>
      <c r="F74" s="14"/>
      <c r="G74" s="13"/>
      <c r="H74" s="13"/>
      <c r="I74" s="12"/>
      <c r="J74" s="15" t="str">
        <f aca="true">IF(OR(A74="",D74="Выполнено"),"",IF(F74="",IF(AND(G74&lt;&gt;"",G74&lt;&gt;"Разово"),"↻ "&amp;G74,""),IF(F74&lt;TODAY(),"Просрочено на "&amp;(TODAY()-F74)&amp;" дн.",IF(F74=TODAY(),"Сегодня",IF(F74=TODAY()+1,"Завтра","Через "&amp;(F74-TODAY())&amp;" дн.")))))</f>
        <v/>
      </c>
    </row>
    <row r="75" customFormat="false" ht="21.75" hidden="false" customHeight="true" outlineLevel="0" collapsed="false">
      <c r="A75" s="12"/>
      <c r="B75" s="12"/>
      <c r="C75" s="13"/>
      <c r="D75" s="13"/>
      <c r="E75" s="14"/>
      <c r="F75" s="14"/>
      <c r="G75" s="13"/>
      <c r="H75" s="13"/>
      <c r="I75" s="12"/>
      <c r="J75" s="15" t="str">
        <f aca="true">IF(OR(A75="",D75="Выполнено"),"",IF(F75="",IF(AND(G75&lt;&gt;"",G75&lt;&gt;"Разово"),"↻ "&amp;G75,""),IF(F75&lt;TODAY(),"Просрочено на "&amp;(TODAY()-F75)&amp;" дн.",IF(F75=TODAY(),"Сегодня",IF(F75=TODAY()+1,"Завтра","Через "&amp;(F75-TODAY())&amp;" дн.")))))</f>
        <v/>
      </c>
    </row>
    <row r="76" customFormat="false" ht="21.75" hidden="false" customHeight="true" outlineLevel="0" collapsed="false">
      <c r="A76" s="12"/>
      <c r="B76" s="12"/>
      <c r="C76" s="13"/>
      <c r="D76" s="13"/>
      <c r="E76" s="14"/>
      <c r="F76" s="14"/>
      <c r="G76" s="13"/>
      <c r="H76" s="13"/>
      <c r="I76" s="12"/>
      <c r="J76" s="15" t="str">
        <f aca="true">IF(OR(A76="",D76="Выполнено"),"",IF(F76="",IF(AND(G76&lt;&gt;"",G76&lt;&gt;"Разово"),"↻ "&amp;G76,""),IF(F76&lt;TODAY(),"Просрочено на "&amp;(TODAY()-F76)&amp;" дн.",IF(F76=TODAY(),"Сегодня",IF(F76=TODAY()+1,"Завтра","Через "&amp;(F76-TODAY())&amp;" дн.")))))</f>
        <v/>
      </c>
    </row>
    <row r="77" customFormat="false" ht="21.75" hidden="false" customHeight="true" outlineLevel="0" collapsed="false">
      <c r="A77" s="12"/>
      <c r="B77" s="12"/>
      <c r="C77" s="13"/>
      <c r="D77" s="13"/>
      <c r="E77" s="14"/>
      <c r="F77" s="14"/>
      <c r="G77" s="13"/>
      <c r="H77" s="13"/>
      <c r="I77" s="12"/>
      <c r="J77" s="15" t="str">
        <f aca="true">IF(OR(A77="",D77="Выполнено"),"",IF(F77="",IF(AND(G77&lt;&gt;"",G77&lt;&gt;"Разово"),"↻ "&amp;G77,""),IF(F77&lt;TODAY(),"Просрочено на "&amp;(TODAY()-F77)&amp;" дн.",IF(F77=TODAY(),"Сегодня",IF(F77=TODAY()+1,"Завтра","Через "&amp;(F77-TODAY())&amp;" дн.")))))</f>
        <v/>
      </c>
    </row>
    <row r="78" customFormat="false" ht="21.75" hidden="false" customHeight="true" outlineLevel="0" collapsed="false">
      <c r="A78" s="12"/>
      <c r="B78" s="12"/>
      <c r="C78" s="13"/>
      <c r="D78" s="13"/>
      <c r="E78" s="14"/>
      <c r="F78" s="14"/>
      <c r="G78" s="13"/>
      <c r="H78" s="13"/>
      <c r="I78" s="12"/>
      <c r="J78" s="15" t="str">
        <f aca="true">IF(OR(A78="",D78="Выполнено"),"",IF(F78="",IF(AND(G78&lt;&gt;"",G78&lt;&gt;"Разово"),"↻ "&amp;G78,""),IF(F78&lt;TODAY(),"Просрочено на "&amp;(TODAY()-F78)&amp;" дн.",IF(F78=TODAY(),"Сегодня",IF(F78=TODAY()+1,"Завтра","Через "&amp;(F78-TODAY())&amp;" дн.")))))</f>
        <v/>
      </c>
    </row>
    <row r="79" customFormat="false" ht="21.75" hidden="false" customHeight="true" outlineLevel="0" collapsed="false">
      <c r="A79" s="12"/>
      <c r="B79" s="12"/>
      <c r="C79" s="13"/>
      <c r="D79" s="13"/>
      <c r="E79" s="14"/>
      <c r="F79" s="14"/>
      <c r="G79" s="13"/>
      <c r="H79" s="13"/>
      <c r="I79" s="12"/>
      <c r="J79" s="15" t="str">
        <f aca="true">IF(OR(A79="",D79="Выполнено"),"",IF(F79="",IF(AND(G79&lt;&gt;"",G79&lt;&gt;"Разово"),"↻ "&amp;G79,""),IF(F79&lt;TODAY(),"Просрочено на "&amp;(TODAY()-F79)&amp;" дн.",IF(F79=TODAY(),"Сегодня",IF(F79=TODAY()+1,"Завтра","Через "&amp;(F79-TODAY())&amp;" дн.")))))</f>
        <v/>
      </c>
    </row>
    <row r="80" customFormat="false" ht="21.75" hidden="false" customHeight="true" outlineLevel="0" collapsed="false">
      <c r="A80" s="12"/>
      <c r="B80" s="12"/>
      <c r="C80" s="13"/>
      <c r="D80" s="13"/>
      <c r="E80" s="14"/>
      <c r="F80" s="14"/>
      <c r="G80" s="13"/>
      <c r="H80" s="13"/>
      <c r="I80" s="12"/>
      <c r="J80" s="15" t="str">
        <f aca="true">IF(OR(A80="",D80="Выполнено"),"",IF(F80="",IF(AND(G80&lt;&gt;"",G80&lt;&gt;"Разово"),"↻ "&amp;G80,""),IF(F80&lt;TODAY(),"Просрочено на "&amp;(TODAY()-F80)&amp;" дн.",IF(F80=TODAY(),"Сегодня",IF(F80=TODAY()+1,"Завтра","Через "&amp;(F80-TODAY())&amp;" дн.")))))</f>
        <v/>
      </c>
    </row>
    <row r="81" customFormat="false" ht="21.75" hidden="false" customHeight="true" outlineLevel="0" collapsed="false">
      <c r="A81" s="12"/>
      <c r="B81" s="12"/>
      <c r="C81" s="13"/>
      <c r="D81" s="13"/>
      <c r="E81" s="14"/>
      <c r="F81" s="14"/>
      <c r="G81" s="13"/>
      <c r="H81" s="13"/>
      <c r="I81" s="12"/>
      <c r="J81" s="15" t="str">
        <f aca="true">IF(OR(A81="",D81="Выполнено"),"",IF(F81="",IF(AND(G81&lt;&gt;"",G81&lt;&gt;"Разово"),"↻ "&amp;G81,""),IF(F81&lt;TODAY(),"Просрочено на "&amp;(TODAY()-F81)&amp;" дн.",IF(F81=TODAY(),"Сегодня",IF(F81=TODAY()+1,"Завтра","Через "&amp;(F81-TODAY())&amp;" дн.")))))</f>
        <v/>
      </c>
    </row>
    <row r="82" customFormat="false" ht="21.75" hidden="false" customHeight="true" outlineLevel="0" collapsed="false">
      <c r="A82" s="12"/>
      <c r="B82" s="12"/>
      <c r="C82" s="13"/>
      <c r="D82" s="13"/>
      <c r="E82" s="14"/>
      <c r="F82" s="14"/>
      <c r="G82" s="13"/>
      <c r="H82" s="13"/>
      <c r="I82" s="12"/>
      <c r="J82" s="15" t="str">
        <f aca="true">IF(OR(A82="",D82="Выполнено"),"",IF(F82="",IF(AND(G82&lt;&gt;"",G82&lt;&gt;"Разово"),"↻ "&amp;G82,""),IF(F82&lt;TODAY(),"Просрочено на "&amp;(TODAY()-F82)&amp;" дн.",IF(F82=TODAY(),"Сегодня",IF(F82=TODAY()+1,"Завтра","Через "&amp;(F82-TODAY())&amp;" дн.")))))</f>
        <v/>
      </c>
    </row>
    <row r="83" customFormat="false" ht="21.75" hidden="false" customHeight="true" outlineLevel="0" collapsed="false">
      <c r="A83" s="12"/>
      <c r="B83" s="12"/>
      <c r="C83" s="13"/>
      <c r="D83" s="13"/>
      <c r="E83" s="14"/>
      <c r="F83" s="14"/>
      <c r="G83" s="13"/>
      <c r="H83" s="13"/>
      <c r="I83" s="12"/>
      <c r="J83" s="15" t="str">
        <f aca="true">IF(OR(A83="",D83="Выполнено"),"",IF(F83="",IF(AND(G83&lt;&gt;"",G83&lt;&gt;"Разово"),"↻ "&amp;G83,""),IF(F83&lt;TODAY(),"Просрочено на "&amp;(TODAY()-F83)&amp;" дн.",IF(F83=TODAY(),"Сегодня",IF(F83=TODAY()+1,"Завтра","Через "&amp;(F83-TODAY())&amp;" дн.")))))</f>
        <v/>
      </c>
    </row>
    <row r="84" customFormat="false" ht="21.75" hidden="false" customHeight="true" outlineLevel="0" collapsed="false">
      <c r="A84" s="12"/>
      <c r="B84" s="12"/>
      <c r="C84" s="13"/>
      <c r="D84" s="13"/>
      <c r="E84" s="14"/>
      <c r="F84" s="14"/>
      <c r="G84" s="13"/>
      <c r="H84" s="13"/>
      <c r="I84" s="12"/>
      <c r="J84" s="15" t="str">
        <f aca="true">IF(OR(A84="",D84="Выполнено"),"",IF(F84="",IF(AND(G84&lt;&gt;"",G84&lt;&gt;"Разово"),"↻ "&amp;G84,""),IF(F84&lt;TODAY(),"Просрочено на "&amp;(TODAY()-F84)&amp;" дн.",IF(F84=TODAY(),"Сегодня",IF(F84=TODAY()+1,"Завтра","Через "&amp;(F84-TODAY())&amp;" дн.")))))</f>
        <v/>
      </c>
    </row>
    <row r="85" customFormat="false" ht="21.75" hidden="false" customHeight="true" outlineLevel="0" collapsed="false">
      <c r="A85" s="12"/>
      <c r="B85" s="12"/>
      <c r="C85" s="13"/>
      <c r="D85" s="13"/>
      <c r="E85" s="14"/>
      <c r="F85" s="14"/>
      <c r="G85" s="13"/>
      <c r="H85" s="13"/>
      <c r="I85" s="12"/>
      <c r="J85" s="15" t="str">
        <f aca="true">IF(OR(A85="",D85="Выполнено"),"",IF(F85="",IF(AND(G85&lt;&gt;"",G85&lt;&gt;"Разово"),"↻ "&amp;G85,""),IF(F85&lt;TODAY(),"Просрочено на "&amp;(TODAY()-F85)&amp;" дн.",IF(F85=TODAY(),"Сегодня",IF(F85=TODAY()+1,"Завтра","Через "&amp;(F85-TODAY())&amp;" дн.")))))</f>
        <v/>
      </c>
    </row>
    <row r="86" customFormat="false" ht="21.75" hidden="false" customHeight="true" outlineLevel="0" collapsed="false">
      <c r="A86" s="12"/>
      <c r="B86" s="12"/>
      <c r="C86" s="13"/>
      <c r="D86" s="13"/>
      <c r="E86" s="14"/>
      <c r="F86" s="14"/>
      <c r="G86" s="13"/>
      <c r="H86" s="13"/>
      <c r="I86" s="12"/>
      <c r="J86" s="15" t="str">
        <f aca="true">IF(OR(A86="",D86="Выполнено"),"",IF(F86="",IF(AND(G86&lt;&gt;"",G86&lt;&gt;"Разово"),"↻ "&amp;G86,""),IF(F86&lt;TODAY(),"Просрочено на "&amp;(TODAY()-F86)&amp;" дн.",IF(F86=TODAY(),"Сегодня",IF(F86=TODAY()+1,"Завтра","Через "&amp;(F86-TODAY())&amp;" дн.")))))</f>
        <v/>
      </c>
    </row>
    <row r="87" customFormat="false" ht="21.75" hidden="false" customHeight="true" outlineLevel="0" collapsed="false">
      <c r="A87" s="12"/>
      <c r="B87" s="12"/>
      <c r="C87" s="13"/>
      <c r="D87" s="13"/>
      <c r="E87" s="14"/>
      <c r="F87" s="14"/>
      <c r="G87" s="13"/>
      <c r="H87" s="13"/>
      <c r="I87" s="12"/>
      <c r="J87" s="15" t="str">
        <f aca="true">IF(OR(A87="",D87="Выполнено"),"",IF(F87="",IF(AND(G87&lt;&gt;"",G87&lt;&gt;"Разово"),"↻ "&amp;G87,""),IF(F87&lt;TODAY(),"Просрочено на "&amp;(TODAY()-F87)&amp;" дн.",IF(F87=TODAY(),"Сегодня",IF(F87=TODAY()+1,"Завтра","Через "&amp;(F87-TODAY())&amp;" дн.")))))</f>
        <v/>
      </c>
    </row>
    <row r="88" customFormat="false" ht="21.75" hidden="false" customHeight="true" outlineLevel="0" collapsed="false">
      <c r="A88" s="12"/>
      <c r="B88" s="12"/>
      <c r="C88" s="13"/>
      <c r="D88" s="13"/>
      <c r="E88" s="14"/>
      <c r="F88" s="14"/>
      <c r="G88" s="13"/>
      <c r="H88" s="13"/>
      <c r="I88" s="12"/>
      <c r="J88" s="15" t="str">
        <f aca="true">IF(OR(A88="",D88="Выполнено"),"",IF(F88="",IF(AND(G88&lt;&gt;"",G88&lt;&gt;"Разово"),"↻ "&amp;G88,""),IF(F88&lt;TODAY(),"Просрочено на "&amp;(TODAY()-F88)&amp;" дн.",IF(F88=TODAY(),"Сегодня",IF(F88=TODAY()+1,"Завтра","Через "&amp;(F88-TODAY())&amp;" дн.")))))</f>
        <v/>
      </c>
    </row>
    <row r="89" customFormat="false" ht="21.75" hidden="false" customHeight="true" outlineLevel="0" collapsed="false">
      <c r="A89" s="12"/>
      <c r="B89" s="12"/>
      <c r="C89" s="13"/>
      <c r="D89" s="13"/>
      <c r="E89" s="14"/>
      <c r="F89" s="14"/>
      <c r="G89" s="13"/>
      <c r="H89" s="13"/>
      <c r="I89" s="12"/>
      <c r="J89" s="15" t="str">
        <f aca="true">IF(OR(A89="",D89="Выполнено"),"",IF(F89="",IF(AND(G89&lt;&gt;"",G89&lt;&gt;"Разово"),"↻ "&amp;G89,""),IF(F89&lt;TODAY(),"Просрочено на "&amp;(TODAY()-F89)&amp;" дн.",IF(F89=TODAY(),"Сегодня",IF(F89=TODAY()+1,"Завтра","Через "&amp;(F89-TODAY())&amp;" дн.")))))</f>
        <v/>
      </c>
    </row>
    <row r="90" customFormat="false" ht="21.75" hidden="false" customHeight="true" outlineLevel="0" collapsed="false">
      <c r="A90" s="12"/>
      <c r="B90" s="12"/>
      <c r="C90" s="13"/>
      <c r="D90" s="13"/>
      <c r="E90" s="14"/>
      <c r="F90" s="14"/>
      <c r="G90" s="13"/>
      <c r="H90" s="13"/>
      <c r="I90" s="12"/>
      <c r="J90" s="15" t="str">
        <f aca="true">IF(OR(A90="",D90="Выполнено"),"",IF(F90="",IF(AND(G90&lt;&gt;"",G90&lt;&gt;"Разово"),"↻ "&amp;G90,""),IF(F90&lt;TODAY(),"Просрочено на "&amp;(TODAY()-F90)&amp;" дн.",IF(F90=TODAY(),"Сегодня",IF(F90=TODAY()+1,"Завтра","Через "&amp;(F90-TODAY())&amp;" дн.")))))</f>
        <v/>
      </c>
    </row>
    <row r="91" customFormat="false" ht="21.75" hidden="false" customHeight="true" outlineLevel="0" collapsed="false">
      <c r="A91" s="12"/>
      <c r="B91" s="12"/>
      <c r="C91" s="13"/>
      <c r="D91" s="13"/>
      <c r="E91" s="14"/>
      <c r="F91" s="14"/>
      <c r="G91" s="13"/>
      <c r="H91" s="13"/>
      <c r="I91" s="12"/>
      <c r="J91" s="15" t="str">
        <f aca="true">IF(OR(A91="",D91="Выполнено"),"",IF(F91="",IF(AND(G91&lt;&gt;"",G91&lt;&gt;"Разово"),"↻ "&amp;G91,""),IF(F91&lt;TODAY(),"Просрочено на "&amp;(TODAY()-F91)&amp;" дн.",IF(F91=TODAY(),"Сегодня",IF(F91=TODAY()+1,"Завтра","Через "&amp;(F91-TODAY())&amp;" дн.")))))</f>
        <v/>
      </c>
    </row>
    <row r="92" customFormat="false" ht="21.75" hidden="false" customHeight="true" outlineLevel="0" collapsed="false">
      <c r="A92" s="12"/>
      <c r="B92" s="12"/>
      <c r="C92" s="13"/>
      <c r="D92" s="13"/>
      <c r="E92" s="14"/>
      <c r="F92" s="14"/>
      <c r="G92" s="13"/>
      <c r="H92" s="13"/>
      <c r="I92" s="12"/>
      <c r="J92" s="15" t="str">
        <f aca="true">IF(OR(A92="",D92="Выполнено"),"",IF(F92="",IF(AND(G92&lt;&gt;"",G92&lt;&gt;"Разово"),"↻ "&amp;G92,""),IF(F92&lt;TODAY(),"Просрочено на "&amp;(TODAY()-F92)&amp;" дн.",IF(F92=TODAY(),"Сегодня",IF(F92=TODAY()+1,"Завтра","Через "&amp;(F92-TODAY())&amp;" дн.")))))</f>
        <v/>
      </c>
    </row>
    <row r="93" customFormat="false" ht="21.75" hidden="false" customHeight="true" outlineLevel="0" collapsed="false">
      <c r="A93" s="12"/>
      <c r="B93" s="12"/>
      <c r="C93" s="13"/>
      <c r="D93" s="13"/>
      <c r="E93" s="14"/>
      <c r="F93" s="14"/>
      <c r="G93" s="13"/>
      <c r="H93" s="13"/>
      <c r="I93" s="12"/>
      <c r="J93" s="15" t="str">
        <f aca="true">IF(OR(A93="",D93="Выполнено"),"",IF(F93="",IF(AND(G93&lt;&gt;"",G93&lt;&gt;"Разово"),"↻ "&amp;G93,""),IF(F93&lt;TODAY(),"Просрочено на "&amp;(TODAY()-F93)&amp;" дн.",IF(F93=TODAY(),"Сегодня",IF(F93=TODAY()+1,"Завтра","Через "&amp;(F93-TODAY())&amp;" дн.")))))</f>
        <v/>
      </c>
    </row>
    <row r="94" customFormat="false" ht="21.75" hidden="false" customHeight="true" outlineLevel="0" collapsed="false">
      <c r="A94" s="12"/>
      <c r="B94" s="12"/>
      <c r="C94" s="13"/>
      <c r="D94" s="13"/>
      <c r="E94" s="14"/>
      <c r="F94" s="14"/>
      <c r="G94" s="13"/>
      <c r="H94" s="13"/>
      <c r="I94" s="12"/>
      <c r="J94" s="15" t="str">
        <f aca="true">IF(OR(A94="",D94="Выполнено"),"",IF(F94="",IF(AND(G94&lt;&gt;"",G94&lt;&gt;"Разово"),"↻ "&amp;G94,""),IF(F94&lt;TODAY(),"Просрочено на "&amp;(TODAY()-F94)&amp;" дн.",IF(F94=TODAY(),"Сегодня",IF(F94=TODAY()+1,"Завтра","Через "&amp;(F94-TODAY())&amp;" дн.")))))</f>
        <v/>
      </c>
    </row>
    <row r="95" customFormat="false" ht="21.75" hidden="false" customHeight="true" outlineLevel="0" collapsed="false">
      <c r="A95" s="12"/>
      <c r="B95" s="12"/>
      <c r="C95" s="13"/>
      <c r="D95" s="13"/>
      <c r="E95" s="14"/>
      <c r="F95" s="14"/>
      <c r="G95" s="13"/>
      <c r="H95" s="13"/>
      <c r="I95" s="12"/>
      <c r="J95" s="15" t="str">
        <f aca="true">IF(OR(A95="",D95="Выполнено"),"",IF(F95="",IF(AND(G95&lt;&gt;"",G95&lt;&gt;"Разово"),"↻ "&amp;G95,""),IF(F95&lt;TODAY(),"Просрочено на "&amp;(TODAY()-F95)&amp;" дн.",IF(F95=TODAY(),"Сегодня",IF(F95=TODAY()+1,"Завтра","Через "&amp;(F95-TODAY())&amp;" дн.")))))</f>
        <v/>
      </c>
    </row>
    <row r="96" customFormat="false" ht="21.75" hidden="false" customHeight="true" outlineLevel="0" collapsed="false">
      <c r="A96" s="12"/>
      <c r="B96" s="12"/>
      <c r="C96" s="13"/>
      <c r="D96" s="13"/>
      <c r="E96" s="14"/>
      <c r="F96" s="14"/>
      <c r="G96" s="13"/>
      <c r="H96" s="13"/>
      <c r="I96" s="12"/>
      <c r="J96" s="15" t="str">
        <f aca="true">IF(OR(A96="",D96="Выполнено"),"",IF(F96="",IF(AND(G96&lt;&gt;"",G96&lt;&gt;"Разово"),"↻ "&amp;G96,""),IF(F96&lt;TODAY(),"Просрочено на "&amp;(TODAY()-F96)&amp;" дн.",IF(F96=TODAY(),"Сегодня",IF(F96=TODAY()+1,"Завтра","Через "&amp;(F96-TODAY())&amp;" дн.")))))</f>
        <v/>
      </c>
    </row>
    <row r="97" customFormat="false" ht="21.75" hidden="false" customHeight="true" outlineLevel="0" collapsed="false">
      <c r="A97" s="12"/>
      <c r="B97" s="12"/>
      <c r="C97" s="13"/>
      <c r="D97" s="13"/>
      <c r="E97" s="14"/>
      <c r="F97" s="14"/>
      <c r="G97" s="13"/>
      <c r="H97" s="13"/>
      <c r="I97" s="12"/>
      <c r="J97" s="15" t="str">
        <f aca="true">IF(OR(A97="",D97="Выполнено"),"",IF(F97="",IF(AND(G97&lt;&gt;"",G97&lt;&gt;"Разово"),"↻ "&amp;G97,""),IF(F97&lt;TODAY(),"Просрочено на "&amp;(TODAY()-F97)&amp;" дн.",IF(F97=TODAY(),"Сегодня",IF(F97=TODAY()+1,"Завтра","Через "&amp;(F97-TODAY())&amp;" дн.")))))</f>
        <v/>
      </c>
    </row>
    <row r="98" customFormat="false" ht="21.75" hidden="false" customHeight="true" outlineLevel="0" collapsed="false">
      <c r="A98" s="12"/>
      <c r="B98" s="12"/>
      <c r="C98" s="13"/>
      <c r="D98" s="13"/>
      <c r="E98" s="14"/>
      <c r="F98" s="14"/>
      <c r="G98" s="13"/>
      <c r="H98" s="13"/>
      <c r="I98" s="12"/>
      <c r="J98" s="15" t="str">
        <f aca="true">IF(OR(A98="",D98="Выполнено"),"",IF(F98="",IF(AND(G98&lt;&gt;"",G98&lt;&gt;"Разово"),"↻ "&amp;G98,""),IF(F98&lt;TODAY(),"Просрочено на "&amp;(TODAY()-F98)&amp;" дн.",IF(F98=TODAY(),"Сегодня",IF(F98=TODAY()+1,"Завтра","Через "&amp;(F98-TODAY())&amp;" дн.")))))</f>
        <v/>
      </c>
    </row>
    <row r="99" customFormat="false" ht="21.75" hidden="false" customHeight="true" outlineLevel="0" collapsed="false">
      <c r="A99" s="12"/>
      <c r="B99" s="12"/>
      <c r="C99" s="13"/>
      <c r="D99" s="13"/>
      <c r="E99" s="14"/>
      <c r="F99" s="14"/>
      <c r="G99" s="13"/>
      <c r="H99" s="13"/>
      <c r="I99" s="12"/>
      <c r="J99" s="15" t="str">
        <f aca="true">IF(OR(A99="",D99="Выполнено"),"",IF(F99="",IF(AND(G99&lt;&gt;"",G99&lt;&gt;"Разово"),"↻ "&amp;G99,""),IF(F99&lt;TODAY(),"Просрочено на "&amp;(TODAY()-F99)&amp;" дн.",IF(F99=TODAY(),"Сегодня",IF(F99=TODAY()+1,"Завтра","Через "&amp;(F99-TODAY())&amp;" дн.")))))</f>
        <v/>
      </c>
    </row>
    <row r="100" customFormat="false" ht="21.75" hidden="false" customHeight="true" outlineLevel="0" collapsed="false">
      <c r="A100" s="12"/>
      <c r="B100" s="12"/>
      <c r="C100" s="13"/>
      <c r="D100" s="13"/>
      <c r="E100" s="14"/>
      <c r="F100" s="14"/>
      <c r="G100" s="13"/>
      <c r="H100" s="13"/>
      <c r="I100" s="12"/>
      <c r="J100" s="15" t="str">
        <f aca="true">IF(OR(A100="",D100="Выполнено"),"",IF(F100="",IF(AND(G100&lt;&gt;"",G100&lt;&gt;"Разово"),"↻ "&amp;G100,""),IF(F100&lt;TODAY(),"Просрочено на "&amp;(TODAY()-F100)&amp;" дн.",IF(F100=TODAY(),"Сегодня",IF(F100=TODAY()+1,"Завтра","Через "&amp;(F100-TODAY())&amp;" дн.")))))</f>
        <v/>
      </c>
    </row>
    <row r="101" customFormat="false" ht="21.75" hidden="false" customHeight="true" outlineLevel="0" collapsed="false">
      <c r="A101" s="12"/>
      <c r="B101" s="12"/>
      <c r="C101" s="13"/>
      <c r="D101" s="13"/>
      <c r="E101" s="14"/>
      <c r="F101" s="14"/>
      <c r="G101" s="13"/>
      <c r="H101" s="13"/>
      <c r="I101" s="12"/>
      <c r="J101" s="15" t="str">
        <f aca="true">IF(OR(A101="",D101="Выполнено"),"",IF(F101="",IF(AND(G101&lt;&gt;"",G101&lt;&gt;"Разово"),"↻ "&amp;G101,""),IF(F101&lt;TODAY(),"Просрочено на "&amp;(TODAY()-F101)&amp;" дн.",IF(F101=TODAY(),"Сегодня",IF(F101=TODAY()+1,"Завтра","Через "&amp;(F101-TODAY())&amp;" дн.")))))</f>
        <v/>
      </c>
    </row>
    <row r="102" customFormat="false" ht="21.75" hidden="false" customHeight="true" outlineLevel="0" collapsed="false">
      <c r="A102" s="12"/>
      <c r="B102" s="12"/>
      <c r="C102" s="13"/>
      <c r="D102" s="13"/>
      <c r="E102" s="14"/>
      <c r="F102" s="14"/>
      <c r="G102" s="13"/>
      <c r="H102" s="13"/>
      <c r="I102" s="12"/>
      <c r="J102" s="15" t="str">
        <f aca="true">IF(OR(A102="",D102="Выполнено"),"",IF(F102="",IF(AND(G102&lt;&gt;"",G102&lt;&gt;"Разово"),"↻ "&amp;G102,""),IF(F102&lt;TODAY(),"Просрочено на "&amp;(TODAY()-F102)&amp;" дн.",IF(F102=TODAY(),"Сегодня",IF(F102=TODAY()+1,"Завтра","Через "&amp;(F102-TODAY())&amp;" дн.")))))</f>
        <v/>
      </c>
    </row>
    <row r="103" customFormat="false" ht="21.75" hidden="false" customHeight="true" outlineLevel="0" collapsed="false">
      <c r="A103" s="12"/>
      <c r="B103" s="12"/>
      <c r="C103" s="13"/>
      <c r="D103" s="13"/>
      <c r="E103" s="14"/>
      <c r="F103" s="14"/>
      <c r="G103" s="13"/>
      <c r="H103" s="13"/>
      <c r="I103" s="12"/>
      <c r="J103" s="15" t="str">
        <f aca="true">IF(OR(A103="",D103="Выполнено"),"",IF(F103="",IF(AND(G103&lt;&gt;"",G103&lt;&gt;"Разово"),"↻ "&amp;G103,""),IF(F103&lt;TODAY(),"Просрочено на "&amp;(TODAY()-F103)&amp;" дн.",IF(F103=TODAY(),"Сегодня",IF(F103=TODAY()+1,"Завтра","Через "&amp;(F103-TODAY())&amp;" дн.")))))</f>
        <v/>
      </c>
    </row>
    <row r="104" customFormat="false" ht="21.75" hidden="false" customHeight="true" outlineLevel="0" collapsed="false">
      <c r="A104" s="12"/>
      <c r="B104" s="12"/>
      <c r="C104" s="13"/>
      <c r="D104" s="13"/>
      <c r="E104" s="14"/>
      <c r="F104" s="14"/>
      <c r="G104" s="13"/>
      <c r="H104" s="13"/>
      <c r="I104" s="12"/>
      <c r="J104" s="15" t="str">
        <f aca="true">IF(OR(A104="",D104="Выполнено"),"",IF(F104="",IF(AND(G104&lt;&gt;"",G104&lt;&gt;"Разово"),"↻ "&amp;G104,""),IF(F104&lt;TODAY(),"Просрочено на "&amp;(TODAY()-F104)&amp;" дн.",IF(F104=TODAY(),"Сегодня",IF(F104=TODAY()+1,"Завтра","Через "&amp;(F104-TODAY())&amp;" дн.")))))</f>
        <v/>
      </c>
    </row>
    <row r="105" customFormat="false" ht="21.75" hidden="false" customHeight="true" outlineLevel="0" collapsed="false">
      <c r="A105" s="12"/>
      <c r="B105" s="12"/>
      <c r="C105" s="13"/>
      <c r="D105" s="13"/>
      <c r="E105" s="14"/>
      <c r="F105" s="14"/>
      <c r="G105" s="13"/>
      <c r="H105" s="13"/>
      <c r="I105" s="12"/>
      <c r="J105" s="15" t="str">
        <f aca="true">IF(OR(A105="",D105="Выполнено"),"",IF(F105="",IF(AND(G105&lt;&gt;"",G105&lt;&gt;"Разово"),"↻ "&amp;G105,""),IF(F105&lt;TODAY(),"Просрочено на "&amp;(TODAY()-F105)&amp;" дн.",IF(F105=TODAY(),"Сегодня",IF(F105=TODAY()+1,"Завтра","Через "&amp;(F105-TODAY())&amp;" дн.")))))</f>
        <v/>
      </c>
    </row>
    <row r="106" customFormat="false" ht="21.75" hidden="false" customHeight="true" outlineLevel="0" collapsed="false">
      <c r="A106" s="12"/>
      <c r="B106" s="12"/>
      <c r="C106" s="13"/>
      <c r="D106" s="13"/>
      <c r="E106" s="14"/>
      <c r="F106" s="14"/>
      <c r="G106" s="13"/>
      <c r="H106" s="13"/>
      <c r="I106" s="12"/>
      <c r="J106" s="15" t="str">
        <f aca="true">IF(OR(A106="",D106="Выполнено"),"",IF(F106="",IF(AND(G106&lt;&gt;"",G106&lt;&gt;"Разово"),"↻ "&amp;G106,""),IF(F106&lt;TODAY(),"Просрочено на "&amp;(TODAY()-F106)&amp;" дн.",IF(F106=TODAY(),"Сегодня",IF(F106=TODAY()+1,"Завтра","Через "&amp;(F106-TODAY())&amp;" дн.")))))</f>
        <v/>
      </c>
    </row>
    <row r="107" customFormat="false" ht="21.75" hidden="false" customHeight="true" outlineLevel="0" collapsed="false">
      <c r="A107" s="12"/>
      <c r="B107" s="12"/>
      <c r="C107" s="13"/>
      <c r="D107" s="13"/>
      <c r="E107" s="14"/>
      <c r="F107" s="14"/>
      <c r="G107" s="13"/>
      <c r="H107" s="13"/>
      <c r="I107" s="12"/>
      <c r="J107" s="15" t="str">
        <f aca="true">IF(OR(A107="",D107="Выполнено"),"",IF(F107="",IF(AND(G107&lt;&gt;"",G107&lt;&gt;"Разово"),"↻ "&amp;G107,""),IF(F107&lt;TODAY(),"Просрочено на "&amp;(TODAY()-F107)&amp;" дн.",IF(F107=TODAY(),"Сегодня",IF(F107=TODAY()+1,"Завтра","Через "&amp;(F107-TODAY())&amp;" дн.")))))</f>
        <v/>
      </c>
    </row>
    <row r="108" customFormat="false" ht="21.75" hidden="false" customHeight="true" outlineLevel="0" collapsed="false">
      <c r="A108" s="12"/>
      <c r="B108" s="12"/>
      <c r="C108" s="13"/>
      <c r="D108" s="13"/>
      <c r="E108" s="14"/>
      <c r="F108" s="14"/>
      <c r="G108" s="13"/>
      <c r="H108" s="13"/>
      <c r="I108" s="12"/>
      <c r="J108" s="15" t="str">
        <f aca="true">IF(OR(A108="",D108="Выполнено"),"",IF(F108="",IF(AND(G108&lt;&gt;"",G108&lt;&gt;"Разово"),"↻ "&amp;G108,""),IF(F108&lt;TODAY(),"Просрочено на "&amp;(TODAY()-F108)&amp;" дн.",IF(F108=TODAY(),"Сегодня",IF(F108=TODAY()+1,"Завтра","Через "&amp;(F108-TODAY())&amp;" дн.")))))</f>
        <v/>
      </c>
    </row>
    <row r="109" customFormat="false" ht="21.75" hidden="false" customHeight="true" outlineLevel="0" collapsed="false">
      <c r="A109" s="12"/>
      <c r="B109" s="12"/>
      <c r="C109" s="13"/>
      <c r="D109" s="13"/>
      <c r="E109" s="14"/>
      <c r="F109" s="14"/>
      <c r="G109" s="13"/>
      <c r="H109" s="13"/>
      <c r="I109" s="12"/>
      <c r="J109" s="15" t="str">
        <f aca="true">IF(OR(A109="",D109="Выполнено"),"",IF(F109="",IF(AND(G109&lt;&gt;"",G109&lt;&gt;"Разово"),"↻ "&amp;G109,""),IF(F109&lt;TODAY(),"Просрочено на "&amp;(TODAY()-F109)&amp;" дн.",IF(F109=TODAY(),"Сегодня",IF(F109=TODAY()+1,"Завтра","Через "&amp;(F109-TODAY())&amp;" дн.")))))</f>
        <v/>
      </c>
    </row>
    <row r="110" customFormat="false" ht="21.75" hidden="false" customHeight="true" outlineLevel="0" collapsed="false">
      <c r="A110" s="12"/>
      <c r="B110" s="12"/>
      <c r="C110" s="13"/>
      <c r="D110" s="13"/>
      <c r="E110" s="14"/>
      <c r="F110" s="14"/>
      <c r="G110" s="13"/>
      <c r="H110" s="13"/>
      <c r="I110" s="12"/>
      <c r="J110" s="15" t="str">
        <f aca="true">IF(OR(A110="",D110="Выполнено"),"",IF(F110="",IF(AND(G110&lt;&gt;"",G110&lt;&gt;"Разово"),"↻ "&amp;G110,""),IF(F110&lt;TODAY(),"Просрочено на "&amp;(TODAY()-F110)&amp;" дн.",IF(F110=TODAY(),"Сегодня",IF(F110=TODAY()+1,"Завтра","Через "&amp;(F110-TODAY())&amp;" дн.")))))</f>
        <v/>
      </c>
    </row>
    <row r="111" customFormat="false" ht="21.75" hidden="false" customHeight="true" outlineLevel="0" collapsed="false">
      <c r="A111" s="12"/>
      <c r="B111" s="12"/>
      <c r="C111" s="13"/>
      <c r="D111" s="13"/>
      <c r="E111" s="14"/>
      <c r="F111" s="14"/>
      <c r="G111" s="13"/>
      <c r="H111" s="13"/>
      <c r="I111" s="12"/>
      <c r="J111" s="15" t="str">
        <f aca="true">IF(OR(A111="",D111="Выполнено"),"",IF(F111="",IF(AND(G111&lt;&gt;"",G111&lt;&gt;"Разово"),"↻ "&amp;G111,""),IF(F111&lt;TODAY(),"Просрочено на "&amp;(TODAY()-F111)&amp;" дн.",IF(F111=TODAY(),"Сегодня",IF(F111=TODAY()+1,"Завтра","Через "&amp;(F111-TODAY())&amp;" дн.")))))</f>
        <v/>
      </c>
    </row>
    <row r="112" customFormat="false" ht="21.75" hidden="false" customHeight="true" outlineLevel="0" collapsed="false">
      <c r="A112" s="12"/>
      <c r="B112" s="12"/>
      <c r="C112" s="13"/>
      <c r="D112" s="13"/>
      <c r="E112" s="14"/>
      <c r="F112" s="14"/>
      <c r="G112" s="13"/>
      <c r="H112" s="13"/>
      <c r="I112" s="12"/>
      <c r="J112" s="15" t="str">
        <f aca="true">IF(OR(A112="",D112="Выполнено"),"",IF(F112="",IF(AND(G112&lt;&gt;"",G112&lt;&gt;"Разово"),"↻ "&amp;G112,""),IF(F112&lt;TODAY(),"Просрочено на "&amp;(TODAY()-F112)&amp;" дн.",IF(F112=TODAY(),"Сегодня",IF(F112=TODAY()+1,"Завтра","Через "&amp;(F112-TODAY())&amp;" дн.")))))</f>
        <v/>
      </c>
    </row>
    <row r="113" customFormat="false" ht="21.75" hidden="false" customHeight="true" outlineLevel="0" collapsed="false">
      <c r="A113" s="12"/>
      <c r="B113" s="12"/>
      <c r="C113" s="13"/>
      <c r="D113" s="13"/>
      <c r="E113" s="14"/>
      <c r="F113" s="14"/>
      <c r="G113" s="13"/>
      <c r="H113" s="13"/>
      <c r="I113" s="12"/>
      <c r="J113" s="15" t="str">
        <f aca="true">IF(OR(A113="",D113="Выполнено"),"",IF(F113="",IF(AND(G113&lt;&gt;"",G113&lt;&gt;"Разово"),"↻ "&amp;G113,""),IF(F113&lt;TODAY(),"Просрочено на "&amp;(TODAY()-F113)&amp;" дн.",IF(F113=TODAY(),"Сегодня",IF(F113=TODAY()+1,"Завтра","Через "&amp;(F113-TODAY())&amp;" дн.")))))</f>
        <v/>
      </c>
    </row>
    <row r="114" customFormat="false" ht="21.75" hidden="false" customHeight="true" outlineLevel="0" collapsed="false">
      <c r="A114" s="12"/>
      <c r="B114" s="12"/>
      <c r="C114" s="13"/>
      <c r="D114" s="13"/>
      <c r="E114" s="14"/>
      <c r="F114" s="14"/>
      <c r="G114" s="13"/>
      <c r="H114" s="13"/>
      <c r="I114" s="12"/>
      <c r="J114" s="15" t="str">
        <f aca="true">IF(OR(A114="",D114="Выполнено"),"",IF(F114="",IF(AND(G114&lt;&gt;"",G114&lt;&gt;"Разово"),"↻ "&amp;G114,""),IF(F114&lt;TODAY(),"Просрочено на "&amp;(TODAY()-F114)&amp;" дн.",IF(F114=TODAY(),"Сегодня",IF(F114=TODAY()+1,"Завтра","Через "&amp;(F114-TODAY())&amp;" дн.")))))</f>
        <v/>
      </c>
    </row>
    <row r="115" customFormat="false" ht="21.75" hidden="false" customHeight="true" outlineLevel="0" collapsed="false">
      <c r="A115" s="12"/>
      <c r="B115" s="12"/>
      <c r="C115" s="13"/>
      <c r="D115" s="13"/>
      <c r="E115" s="14"/>
      <c r="F115" s="14"/>
      <c r="G115" s="13"/>
      <c r="H115" s="13"/>
      <c r="I115" s="12"/>
      <c r="J115" s="15" t="str">
        <f aca="true">IF(OR(A115="",D115="Выполнено"),"",IF(F115="",IF(AND(G115&lt;&gt;"",G115&lt;&gt;"Разово"),"↻ "&amp;G115,""),IF(F115&lt;TODAY(),"Просрочено на "&amp;(TODAY()-F115)&amp;" дн.",IF(F115=TODAY(),"Сегодня",IF(F115=TODAY()+1,"Завтра","Через "&amp;(F115-TODAY())&amp;" дн.")))))</f>
        <v/>
      </c>
    </row>
    <row r="116" customFormat="false" ht="21.75" hidden="false" customHeight="true" outlineLevel="0" collapsed="false">
      <c r="A116" s="12"/>
      <c r="B116" s="12"/>
      <c r="C116" s="13"/>
      <c r="D116" s="13"/>
      <c r="E116" s="14"/>
      <c r="F116" s="14"/>
      <c r="G116" s="13"/>
      <c r="H116" s="13"/>
      <c r="I116" s="12"/>
      <c r="J116" s="15" t="str">
        <f aca="true">IF(OR(A116="",D116="Выполнено"),"",IF(F116="",IF(AND(G116&lt;&gt;"",G116&lt;&gt;"Разово"),"↻ "&amp;G116,""),IF(F116&lt;TODAY(),"Просрочено на "&amp;(TODAY()-F116)&amp;" дн.",IF(F116=TODAY(),"Сегодня",IF(F116=TODAY()+1,"Завтра","Через "&amp;(F116-TODAY())&amp;" дн.")))))</f>
        <v/>
      </c>
    </row>
    <row r="117" customFormat="false" ht="21.75" hidden="false" customHeight="true" outlineLevel="0" collapsed="false">
      <c r="A117" s="12"/>
      <c r="B117" s="12"/>
      <c r="C117" s="13"/>
      <c r="D117" s="13"/>
      <c r="E117" s="14"/>
      <c r="F117" s="14"/>
      <c r="G117" s="13"/>
      <c r="H117" s="13"/>
      <c r="I117" s="12"/>
      <c r="J117" s="15" t="str">
        <f aca="true">IF(OR(A117="",D117="Выполнено"),"",IF(F117="",IF(AND(G117&lt;&gt;"",G117&lt;&gt;"Разово"),"↻ "&amp;G117,""),IF(F117&lt;TODAY(),"Просрочено на "&amp;(TODAY()-F117)&amp;" дн.",IF(F117=TODAY(),"Сегодня",IF(F117=TODAY()+1,"Завтра","Через "&amp;(F117-TODAY())&amp;" дн.")))))</f>
        <v/>
      </c>
    </row>
    <row r="118" customFormat="false" ht="21.75" hidden="false" customHeight="true" outlineLevel="0" collapsed="false">
      <c r="A118" s="12"/>
      <c r="B118" s="12"/>
      <c r="C118" s="13"/>
      <c r="D118" s="13"/>
      <c r="E118" s="14"/>
      <c r="F118" s="14"/>
      <c r="G118" s="13"/>
      <c r="H118" s="13"/>
      <c r="I118" s="12"/>
      <c r="J118" s="15" t="str">
        <f aca="true">IF(OR(A118="",D118="Выполнено"),"",IF(F118="",IF(AND(G118&lt;&gt;"",G118&lt;&gt;"Разово"),"↻ "&amp;G118,""),IF(F118&lt;TODAY(),"Просрочено на "&amp;(TODAY()-F118)&amp;" дн.",IF(F118=TODAY(),"Сегодня",IF(F118=TODAY()+1,"Завтра","Через "&amp;(F118-TODAY())&amp;" дн.")))))</f>
        <v/>
      </c>
    </row>
    <row r="119" customFormat="false" ht="21.75" hidden="false" customHeight="true" outlineLevel="0" collapsed="false">
      <c r="A119" s="12"/>
      <c r="B119" s="12"/>
      <c r="C119" s="13"/>
      <c r="D119" s="13"/>
      <c r="E119" s="14"/>
      <c r="F119" s="14"/>
      <c r="G119" s="13"/>
      <c r="H119" s="13"/>
      <c r="I119" s="12"/>
      <c r="J119" s="15" t="str">
        <f aca="true">IF(OR(A119="",D119="Выполнено"),"",IF(F119="",IF(AND(G119&lt;&gt;"",G119&lt;&gt;"Разово"),"↻ "&amp;G119,""),IF(F119&lt;TODAY(),"Просрочено на "&amp;(TODAY()-F119)&amp;" дн.",IF(F119=TODAY(),"Сегодня",IF(F119=TODAY()+1,"Завтра","Через "&amp;(F119-TODAY())&amp;" дн.")))))</f>
        <v/>
      </c>
    </row>
    <row r="120" customFormat="false" ht="21.75" hidden="false" customHeight="true" outlineLevel="0" collapsed="false">
      <c r="A120" s="12"/>
      <c r="B120" s="12"/>
      <c r="C120" s="13"/>
      <c r="D120" s="13"/>
      <c r="E120" s="14"/>
      <c r="F120" s="14"/>
      <c r="G120" s="13"/>
      <c r="H120" s="13"/>
      <c r="I120" s="12"/>
      <c r="J120" s="15" t="str">
        <f aca="true">IF(OR(A120="",D120="Выполнено"),"",IF(F120="",IF(AND(G120&lt;&gt;"",G120&lt;&gt;"Разово"),"↻ "&amp;G120,""),IF(F120&lt;TODAY(),"Просрочено на "&amp;(TODAY()-F120)&amp;" дн.",IF(F120=TODAY(),"Сегодня",IF(F120=TODAY()+1,"Завтра","Через "&amp;(F120-TODAY())&amp;" дн.")))))</f>
        <v/>
      </c>
    </row>
    <row r="121" customFormat="false" ht="21.75" hidden="false" customHeight="true" outlineLevel="0" collapsed="false">
      <c r="A121" s="12"/>
      <c r="B121" s="12"/>
      <c r="C121" s="13"/>
      <c r="D121" s="13"/>
      <c r="E121" s="14"/>
      <c r="F121" s="14"/>
      <c r="G121" s="13"/>
      <c r="H121" s="13"/>
      <c r="I121" s="12"/>
      <c r="J121" s="15" t="str">
        <f aca="true">IF(OR(A121="",D121="Выполнено"),"",IF(F121="",IF(AND(G121&lt;&gt;"",G121&lt;&gt;"Разово"),"↻ "&amp;G121,""),IF(F121&lt;TODAY(),"Просрочено на "&amp;(TODAY()-F121)&amp;" дн.",IF(F121=TODAY(),"Сегодня",IF(F121=TODAY()+1,"Завтра","Через "&amp;(F121-TODAY())&amp;" дн.")))))</f>
        <v/>
      </c>
    </row>
    <row r="122" customFormat="false" ht="21.75" hidden="false" customHeight="true" outlineLevel="0" collapsed="false">
      <c r="A122" s="12"/>
      <c r="B122" s="12"/>
      <c r="C122" s="13"/>
      <c r="D122" s="13"/>
      <c r="E122" s="14"/>
      <c r="F122" s="14"/>
      <c r="G122" s="13"/>
      <c r="H122" s="13"/>
      <c r="I122" s="12"/>
      <c r="J122" s="15" t="str">
        <f aca="true">IF(OR(A122="",D122="Выполнено"),"",IF(F122="",IF(AND(G122&lt;&gt;"",G122&lt;&gt;"Разово"),"↻ "&amp;G122,""),IF(F122&lt;TODAY(),"Просрочено на "&amp;(TODAY()-F122)&amp;" дн.",IF(F122=TODAY(),"Сегодня",IF(F122=TODAY()+1,"Завтра","Через "&amp;(F122-TODAY())&amp;" дн.")))))</f>
        <v/>
      </c>
    </row>
    <row r="123" customFormat="false" ht="21.75" hidden="false" customHeight="true" outlineLevel="0" collapsed="false">
      <c r="A123" s="12"/>
      <c r="B123" s="12"/>
      <c r="C123" s="13"/>
      <c r="D123" s="13"/>
      <c r="E123" s="14"/>
      <c r="F123" s="14"/>
      <c r="G123" s="13"/>
      <c r="H123" s="13"/>
      <c r="I123" s="12"/>
      <c r="J123" s="15" t="str">
        <f aca="true">IF(OR(A123="",D123="Выполнено"),"",IF(F123="",IF(AND(G123&lt;&gt;"",G123&lt;&gt;"Разово"),"↻ "&amp;G123,""),IF(F123&lt;TODAY(),"Просрочено на "&amp;(TODAY()-F123)&amp;" дн.",IF(F123=TODAY(),"Сегодня",IF(F123=TODAY()+1,"Завтра","Через "&amp;(F123-TODAY())&amp;" дн.")))))</f>
        <v/>
      </c>
    </row>
    <row r="124" customFormat="false" ht="21.75" hidden="false" customHeight="true" outlineLevel="0" collapsed="false">
      <c r="A124" s="12"/>
      <c r="B124" s="12"/>
      <c r="C124" s="13"/>
      <c r="D124" s="13"/>
      <c r="E124" s="14"/>
      <c r="F124" s="14"/>
      <c r="G124" s="13"/>
      <c r="H124" s="13"/>
      <c r="I124" s="12"/>
      <c r="J124" s="15" t="str">
        <f aca="true">IF(OR(A124="",D124="Выполнено"),"",IF(F124="",IF(AND(G124&lt;&gt;"",G124&lt;&gt;"Разово"),"↻ "&amp;G124,""),IF(F124&lt;TODAY(),"Просрочено на "&amp;(TODAY()-F124)&amp;" дн.",IF(F124=TODAY(),"Сегодня",IF(F124=TODAY()+1,"Завтра","Через "&amp;(F124-TODAY())&amp;" дн.")))))</f>
        <v/>
      </c>
    </row>
    <row r="125" customFormat="false" ht="21.75" hidden="false" customHeight="true" outlineLevel="0" collapsed="false">
      <c r="A125" s="12"/>
      <c r="B125" s="12"/>
      <c r="C125" s="13"/>
      <c r="D125" s="13"/>
      <c r="E125" s="14"/>
      <c r="F125" s="14"/>
      <c r="G125" s="13"/>
      <c r="H125" s="13"/>
      <c r="I125" s="12"/>
      <c r="J125" s="15" t="str">
        <f aca="true">IF(OR(A125="",D125="Выполнено"),"",IF(F125="",IF(AND(G125&lt;&gt;"",G125&lt;&gt;"Разово"),"↻ "&amp;G125,""),IF(F125&lt;TODAY(),"Просрочено на "&amp;(TODAY()-F125)&amp;" дн.",IF(F125=TODAY(),"Сегодня",IF(F125=TODAY()+1,"Завтра","Через "&amp;(F125-TODAY())&amp;" дн.")))))</f>
        <v/>
      </c>
    </row>
    <row r="126" customFormat="false" ht="21.75" hidden="false" customHeight="true" outlineLevel="0" collapsed="false">
      <c r="A126" s="12"/>
      <c r="B126" s="12"/>
      <c r="C126" s="13"/>
      <c r="D126" s="13"/>
      <c r="E126" s="14"/>
      <c r="F126" s="14"/>
      <c r="G126" s="13"/>
      <c r="H126" s="13"/>
      <c r="I126" s="12"/>
      <c r="J126" s="15" t="str">
        <f aca="true">IF(OR(A126="",D126="Выполнено"),"",IF(F126="",IF(AND(G126&lt;&gt;"",G126&lt;&gt;"Разово"),"↻ "&amp;G126,""),IF(F126&lt;TODAY(),"Просрочено на "&amp;(TODAY()-F126)&amp;" дн.",IF(F126=TODAY(),"Сегодня",IF(F126=TODAY()+1,"Завтра","Через "&amp;(F126-TODAY())&amp;" дн.")))))</f>
        <v/>
      </c>
    </row>
    <row r="127" customFormat="false" ht="21.75" hidden="false" customHeight="true" outlineLevel="0" collapsed="false">
      <c r="A127" s="12"/>
      <c r="B127" s="12"/>
      <c r="C127" s="13"/>
      <c r="D127" s="13"/>
      <c r="E127" s="14"/>
      <c r="F127" s="14"/>
      <c r="G127" s="13"/>
      <c r="H127" s="13"/>
      <c r="I127" s="12"/>
      <c r="J127" s="15" t="str">
        <f aca="true">IF(OR(A127="",D127="Выполнено"),"",IF(F127="",IF(AND(G127&lt;&gt;"",G127&lt;&gt;"Разово"),"↻ "&amp;G127,""),IF(F127&lt;TODAY(),"Просрочено на "&amp;(TODAY()-F127)&amp;" дн.",IF(F127=TODAY(),"Сегодня",IF(F127=TODAY()+1,"Завтра","Через "&amp;(F127-TODAY())&amp;" дн.")))))</f>
        <v/>
      </c>
    </row>
    <row r="128" customFormat="false" ht="21.75" hidden="false" customHeight="true" outlineLevel="0" collapsed="false">
      <c r="A128" s="12"/>
      <c r="B128" s="12"/>
      <c r="C128" s="13"/>
      <c r="D128" s="13"/>
      <c r="E128" s="14"/>
      <c r="F128" s="14"/>
      <c r="G128" s="13"/>
      <c r="H128" s="13"/>
      <c r="I128" s="12"/>
      <c r="J128" s="15" t="str">
        <f aca="true">IF(OR(A128="",D128="Выполнено"),"",IF(F128="",IF(AND(G128&lt;&gt;"",G128&lt;&gt;"Разово"),"↻ "&amp;G128,""),IF(F128&lt;TODAY(),"Просрочено на "&amp;(TODAY()-F128)&amp;" дн.",IF(F128=TODAY(),"Сегодня",IF(F128=TODAY()+1,"Завтра","Через "&amp;(F128-TODAY())&amp;" дн.")))))</f>
        <v/>
      </c>
    </row>
    <row r="129" customFormat="false" ht="21.75" hidden="false" customHeight="true" outlineLevel="0" collapsed="false">
      <c r="A129" s="12"/>
      <c r="B129" s="12"/>
      <c r="C129" s="13"/>
      <c r="D129" s="13"/>
      <c r="E129" s="14"/>
      <c r="F129" s="14"/>
      <c r="G129" s="13"/>
      <c r="H129" s="13"/>
      <c r="I129" s="12"/>
      <c r="J129" s="15" t="str">
        <f aca="true">IF(OR(A129="",D129="Выполнено"),"",IF(F129="",IF(AND(G129&lt;&gt;"",G129&lt;&gt;"Разово"),"↻ "&amp;G129,""),IF(F129&lt;TODAY(),"Просрочено на "&amp;(TODAY()-F129)&amp;" дн.",IF(F129=TODAY(),"Сегодня",IF(F129=TODAY()+1,"Завтра","Через "&amp;(F129-TODAY())&amp;" дн.")))))</f>
        <v/>
      </c>
    </row>
    <row r="130" customFormat="false" ht="21.75" hidden="false" customHeight="true" outlineLevel="0" collapsed="false">
      <c r="A130" s="12"/>
      <c r="B130" s="12"/>
      <c r="C130" s="13"/>
      <c r="D130" s="13"/>
      <c r="E130" s="14"/>
      <c r="F130" s="14"/>
      <c r="G130" s="13"/>
      <c r="H130" s="13"/>
      <c r="I130" s="12"/>
      <c r="J130" s="15" t="str">
        <f aca="true">IF(OR(A130="",D130="Выполнено"),"",IF(F130="",IF(AND(G130&lt;&gt;"",G130&lt;&gt;"Разово"),"↻ "&amp;G130,""),IF(F130&lt;TODAY(),"Просрочено на "&amp;(TODAY()-F130)&amp;" дн.",IF(F130=TODAY(),"Сегодня",IF(F130=TODAY()+1,"Завтра","Через "&amp;(F130-TODAY())&amp;" дн.")))))</f>
        <v/>
      </c>
    </row>
    <row r="131" customFormat="false" ht="21.75" hidden="false" customHeight="true" outlineLevel="0" collapsed="false">
      <c r="A131" s="12"/>
      <c r="B131" s="12"/>
      <c r="C131" s="13"/>
      <c r="D131" s="13"/>
      <c r="E131" s="14"/>
      <c r="F131" s="14"/>
      <c r="G131" s="13"/>
      <c r="H131" s="13"/>
      <c r="I131" s="12"/>
      <c r="J131" s="15" t="str">
        <f aca="true">IF(OR(A131="",D131="Выполнено"),"",IF(F131="",IF(AND(G131&lt;&gt;"",G131&lt;&gt;"Разово"),"↻ "&amp;G131,""),IF(F131&lt;TODAY(),"Просрочено на "&amp;(TODAY()-F131)&amp;" дн.",IF(F131=TODAY(),"Сегодня",IF(F131=TODAY()+1,"Завтра","Через "&amp;(F131-TODAY())&amp;" дн.")))))</f>
        <v/>
      </c>
    </row>
    <row r="132" customFormat="false" ht="21.75" hidden="false" customHeight="true" outlineLevel="0" collapsed="false">
      <c r="A132" s="12"/>
      <c r="B132" s="12"/>
      <c r="C132" s="13"/>
      <c r="D132" s="13"/>
      <c r="E132" s="14"/>
      <c r="F132" s="14"/>
      <c r="G132" s="13"/>
      <c r="H132" s="13"/>
      <c r="I132" s="12"/>
      <c r="J132" s="15" t="str">
        <f aca="true">IF(OR(A132="",D132="Выполнено"),"",IF(F132="",IF(AND(G132&lt;&gt;"",G132&lt;&gt;"Разово"),"↻ "&amp;G132,""),IF(F132&lt;TODAY(),"Просрочено на "&amp;(TODAY()-F132)&amp;" дн.",IF(F132=TODAY(),"Сегодня",IF(F132=TODAY()+1,"Завтра","Через "&amp;(F132-TODAY())&amp;" дн.")))))</f>
        <v/>
      </c>
    </row>
    <row r="133" customFormat="false" ht="21.75" hidden="false" customHeight="true" outlineLevel="0" collapsed="false">
      <c r="A133" s="12"/>
      <c r="B133" s="12"/>
      <c r="C133" s="13"/>
      <c r="D133" s="13"/>
      <c r="E133" s="14"/>
      <c r="F133" s="14"/>
      <c r="G133" s="13"/>
      <c r="H133" s="13"/>
      <c r="I133" s="12"/>
      <c r="J133" s="15" t="str">
        <f aca="true">IF(OR(A133="",D133="Выполнено"),"",IF(F133="",IF(AND(G133&lt;&gt;"",G133&lt;&gt;"Разово"),"↻ "&amp;G133,""),IF(F133&lt;TODAY(),"Просрочено на "&amp;(TODAY()-F133)&amp;" дн.",IF(F133=TODAY(),"Сегодня",IF(F133=TODAY()+1,"Завтра","Через "&amp;(F133-TODAY())&amp;" дн.")))))</f>
        <v/>
      </c>
    </row>
    <row r="134" customFormat="false" ht="21.75" hidden="false" customHeight="true" outlineLevel="0" collapsed="false">
      <c r="A134" s="12"/>
      <c r="B134" s="12"/>
      <c r="C134" s="13"/>
      <c r="D134" s="13"/>
      <c r="E134" s="14"/>
      <c r="F134" s="14"/>
      <c r="G134" s="13"/>
      <c r="H134" s="13"/>
      <c r="I134" s="12"/>
      <c r="J134" s="15" t="str">
        <f aca="true">IF(OR(A134="",D134="Выполнено"),"",IF(F134="",IF(AND(G134&lt;&gt;"",G134&lt;&gt;"Разово"),"↻ "&amp;G134,""),IF(F134&lt;TODAY(),"Просрочено на "&amp;(TODAY()-F134)&amp;" дн.",IF(F134=TODAY(),"Сегодня",IF(F134=TODAY()+1,"Завтра","Через "&amp;(F134-TODAY())&amp;" дн.")))))</f>
        <v/>
      </c>
    </row>
    <row r="135" customFormat="false" ht="21.75" hidden="false" customHeight="true" outlineLevel="0" collapsed="false">
      <c r="A135" s="12"/>
      <c r="B135" s="12"/>
      <c r="C135" s="13"/>
      <c r="D135" s="13"/>
      <c r="E135" s="14"/>
      <c r="F135" s="14"/>
      <c r="G135" s="13"/>
      <c r="H135" s="13"/>
      <c r="I135" s="12"/>
      <c r="J135" s="15" t="str">
        <f aca="true">IF(OR(A135="",D135="Выполнено"),"",IF(F135="",IF(AND(G135&lt;&gt;"",G135&lt;&gt;"Разово"),"↻ "&amp;G135,""),IF(F135&lt;TODAY(),"Просрочено на "&amp;(TODAY()-F135)&amp;" дн.",IF(F135=TODAY(),"Сегодня",IF(F135=TODAY()+1,"Завтра","Через "&amp;(F135-TODAY())&amp;" дн.")))))</f>
        <v/>
      </c>
    </row>
    <row r="136" customFormat="false" ht="21.75" hidden="false" customHeight="true" outlineLevel="0" collapsed="false">
      <c r="A136" s="12"/>
      <c r="B136" s="12"/>
      <c r="C136" s="13"/>
      <c r="D136" s="13"/>
      <c r="E136" s="14"/>
      <c r="F136" s="14"/>
      <c r="G136" s="13"/>
      <c r="H136" s="13"/>
      <c r="I136" s="12"/>
      <c r="J136" s="15" t="str">
        <f aca="true">IF(OR(A136="",D136="Выполнено"),"",IF(F136="",IF(AND(G136&lt;&gt;"",G136&lt;&gt;"Разово"),"↻ "&amp;G136,""),IF(F136&lt;TODAY(),"Просрочено на "&amp;(TODAY()-F136)&amp;" дн.",IF(F136=TODAY(),"Сегодня",IF(F136=TODAY()+1,"Завтра","Через "&amp;(F136-TODAY())&amp;" дн.")))))</f>
        <v/>
      </c>
    </row>
    <row r="137" customFormat="false" ht="21.75" hidden="false" customHeight="true" outlineLevel="0" collapsed="false">
      <c r="A137" s="12"/>
      <c r="B137" s="12"/>
      <c r="C137" s="13"/>
      <c r="D137" s="13"/>
      <c r="E137" s="14"/>
      <c r="F137" s="14"/>
      <c r="G137" s="13"/>
      <c r="H137" s="13"/>
      <c r="I137" s="12"/>
      <c r="J137" s="15" t="str">
        <f aca="true">IF(OR(A137="",D137="Выполнено"),"",IF(F137="",IF(AND(G137&lt;&gt;"",G137&lt;&gt;"Разово"),"↻ "&amp;G137,""),IF(F137&lt;TODAY(),"Просрочено на "&amp;(TODAY()-F137)&amp;" дн.",IF(F137=TODAY(),"Сегодня",IF(F137=TODAY()+1,"Завтра","Через "&amp;(F137-TODAY())&amp;" дн.")))))</f>
        <v/>
      </c>
    </row>
    <row r="138" customFormat="false" ht="21.75" hidden="false" customHeight="true" outlineLevel="0" collapsed="false">
      <c r="A138" s="12"/>
      <c r="B138" s="12"/>
      <c r="C138" s="13"/>
      <c r="D138" s="13"/>
      <c r="E138" s="14"/>
      <c r="F138" s="14"/>
      <c r="G138" s="13"/>
      <c r="H138" s="13"/>
      <c r="I138" s="12"/>
      <c r="J138" s="15" t="str">
        <f aca="true">IF(OR(A138="",D138="Выполнено"),"",IF(F138="",IF(AND(G138&lt;&gt;"",G138&lt;&gt;"Разово"),"↻ "&amp;G138,""),IF(F138&lt;TODAY(),"Просрочено на "&amp;(TODAY()-F138)&amp;" дн.",IF(F138=TODAY(),"Сегодня",IF(F138=TODAY()+1,"Завтра","Через "&amp;(F138-TODAY())&amp;" дн.")))))</f>
        <v/>
      </c>
    </row>
    <row r="139" customFormat="false" ht="21.75" hidden="false" customHeight="true" outlineLevel="0" collapsed="false">
      <c r="A139" s="12"/>
      <c r="B139" s="12"/>
      <c r="C139" s="13"/>
      <c r="D139" s="13"/>
      <c r="E139" s="14"/>
      <c r="F139" s="14"/>
      <c r="G139" s="13"/>
      <c r="H139" s="13"/>
      <c r="I139" s="12"/>
      <c r="J139" s="15" t="str">
        <f aca="true">IF(OR(A139="",D139="Выполнено"),"",IF(F139="",IF(AND(G139&lt;&gt;"",G139&lt;&gt;"Разово"),"↻ "&amp;G139,""),IF(F139&lt;TODAY(),"Просрочено на "&amp;(TODAY()-F139)&amp;" дн.",IF(F139=TODAY(),"Сегодня",IF(F139=TODAY()+1,"Завтра","Через "&amp;(F139-TODAY())&amp;" дн.")))))</f>
        <v/>
      </c>
    </row>
    <row r="140" customFormat="false" ht="21.75" hidden="false" customHeight="true" outlineLevel="0" collapsed="false">
      <c r="A140" s="12"/>
      <c r="B140" s="12"/>
      <c r="C140" s="13"/>
      <c r="D140" s="13"/>
      <c r="E140" s="14"/>
      <c r="F140" s="14"/>
      <c r="G140" s="13"/>
      <c r="H140" s="13"/>
      <c r="I140" s="12"/>
      <c r="J140" s="15" t="str">
        <f aca="true">IF(OR(A140="",D140="Выполнено"),"",IF(F140="",IF(AND(G140&lt;&gt;"",G140&lt;&gt;"Разово"),"↻ "&amp;G140,""),IF(F140&lt;TODAY(),"Просрочено на "&amp;(TODAY()-F140)&amp;" дн.",IF(F140=TODAY(),"Сегодня",IF(F140=TODAY()+1,"Завтра","Через "&amp;(F140-TODAY())&amp;" дн.")))))</f>
        <v/>
      </c>
    </row>
    <row r="141" customFormat="false" ht="21.75" hidden="false" customHeight="true" outlineLevel="0" collapsed="false">
      <c r="A141" s="12"/>
      <c r="B141" s="12"/>
      <c r="C141" s="13"/>
      <c r="D141" s="13"/>
      <c r="E141" s="14"/>
      <c r="F141" s="14"/>
      <c r="G141" s="13"/>
      <c r="H141" s="13"/>
      <c r="I141" s="12"/>
      <c r="J141" s="15" t="str">
        <f aca="true">IF(OR(A141="",D141="Выполнено"),"",IF(F141="",IF(AND(G141&lt;&gt;"",G141&lt;&gt;"Разово"),"↻ "&amp;G141,""),IF(F141&lt;TODAY(),"Просрочено на "&amp;(TODAY()-F141)&amp;" дн.",IF(F141=TODAY(),"Сегодня",IF(F141=TODAY()+1,"Завтра","Через "&amp;(F141-TODAY())&amp;" дн.")))))</f>
        <v/>
      </c>
    </row>
    <row r="142" customFormat="false" ht="21.75" hidden="false" customHeight="true" outlineLevel="0" collapsed="false">
      <c r="A142" s="12"/>
      <c r="B142" s="12"/>
      <c r="C142" s="13"/>
      <c r="D142" s="13"/>
      <c r="E142" s="14"/>
      <c r="F142" s="14"/>
      <c r="G142" s="13"/>
      <c r="H142" s="13"/>
      <c r="I142" s="12"/>
      <c r="J142" s="15" t="str">
        <f aca="true">IF(OR(A142="",D142="Выполнено"),"",IF(F142="",IF(AND(G142&lt;&gt;"",G142&lt;&gt;"Разово"),"↻ "&amp;G142,""),IF(F142&lt;TODAY(),"Просрочено на "&amp;(TODAY()-F142)&amp;" дн.",IF(F142=TODAY(),"Сегодня",IF(F142=TODAY()+1,"Завтра","Через "&amp;(F142-TODAY())&amp;" дн.")))))</f>
        <v/>
      </c>
    </row>
    <row r="143" customFormat="false" ht="21.75" hidden="false" customHeight="true" outlineLevel="0" collapsed="false">
      <c r="A143" s="12"/>
      <c r="B143" s="12"/>
      <c r="C143" s="13"/>
      <c r="D143" s="13"/>
      <c r="E143" s="14"/>
      <c r="F143" s="14"/>
      <c r="G143" s="13"/>
      <c r="H143" s="13"/>
      <c r="I143" s="12"/>
      <c r="J143" s="15" t="str">
        <f aca="true">IF(OR(A143="",D143="Выполнено"),"",IF(F143="",IF(AND(G143&lt;&gt;"",G143&lt;&gt;"Разово"),"↻ "&amp;G143,""),IF(F143&lt;TODAY(),"Просрочено на "&amp;(TODAY()-F143)&amp;" дн.",IF(F143=TODAY(),"Сегодня",IF(F143=TODAY()+1,"Завтра","Через "&amp;(F143-TODAY())&amp;" дн.")))))</f>
        <v/>
      </c>
    </row>
    <row r="144" customFormat="false" ht="21.75" hidden="false" customHeight="true" outlineLevel="0" collapsed="false">
      <c r="A144" s="12"/>
      <c r="B144" s="12"/>
      <c r="C144" s="13"/>
      <c r="D144" s="13"/>
      <c r="E144" s="14"/>
      <c r="F144" s="14"/>
      <c r="G144" s="13"/>
      <c r="H144" s="13"/>
      <c r="I144" s="12"/>
      <c r="J144" s="15" t="str">
        <f aca="true">IF(OR(A144="",D144="Выполнено"),"",IF(F144="",IF(AND(G144&lt;&gt;"",G144&lt;&gt;"Разово"),"↻ "&amp;G144,""),IF(F144&lt;TODAY(),"Просрочено на "&amp;(TODAY()-F144)&amp;" дн.",IF(F144=TODAY(),"Сегодня",IF(F144=TODAY()+1,"Завтра","Через "&amp;(F144-TODAY())&amp;" дн.")))))</f>
        <v/>
      </c>
    </row>
    <row r="145" customFormat="false" ht="21.75" hidden="false" customHeight="true" outlineLevel="0" collapsed="false">
      <c r="A145" s="12"/>
      <c r="B145" s="12"/>
      <c r="C145" s="13"/>
      <c r="D145" s="13"/>
      <c r="E145" s="14"/>
      <c r="F145" s="14"/>
      <c r="G145" s="13"/>
      <c r="H145" s="13"/>
      <c r="I145" s="12"/>
      <c r="J145" s="15" t="str">
        <f aca="true">IF(OR(A145="",D145="Выполнено"),"",IF(F145="",IF(AND(G145&lt;&gt;"",G145&lt;&gt;"Разово"),"↻ "&amp;G145,""),IF(F145&lt;TODAY(),"Просрочено на "&amp;(TODAY()-F145)&amp;" дн.",IF(F145=TODAY(),"Сегодня",IF(F145=TODAY()+1,"Завтра","Через "&amp;(F145-TODAY())&amp;" дн.")))))</f>
        <v/>
      </c>
    </row>
    <row r="146" customFormat="false" ht="21.75" hidden="false" customHeight="true" outlineLevel="0" collapsed="false">
      <c r="A146" s="12"/>
      <c r="B146" s="12"/>
      <c r="C146" s="13"/>
      <c r="D146" s="13"/>
      <c r="E146" s="14"/>
      <c r="F146" s="14"/>
      <c r="G146" s="13"/>
      <c r="H146" s="13"/>
      <c r="I146" s="12"/>
      <c r="J146" s="15" t="str">
        <f aca="true">IF(OR(A146="",D146="Выполнено"),"",IF(F146="",IF(AND(G146&lt;&gt;"",G146&lt;&gt;"Разово"),"↻ "&amp;G146,""),IF(F146&lt;TODAY(),"Просрочено на "&amp;(TODAY()-F146)&amp;" дн.",IF(F146=TODAY(),"Сегодня",IF(F146=TODAY()+1,"Завтра","Через "&amp;(F146-TODAY())&amp;" дн.")))))</f>
        <v/>
      </c>
    </row>
    <row r="147" customFormat="false" ht="21.75" hidden="false" customHeight="true" outlineLevel="0" collapsed="false">
      <c r="A147" s="12"/>
      <c r="B147" s="12"/>
      <c r="C147" s="13"/>
      <c r="D147" s="13"/>
      <c r="E147" s="14"/>
      <c r="F147" s="14"/>
      <c r="G147" s="13"/>
      <c r="H147" s="13"/>
      <c r="I147" s="12"/>
      <c r="J147" s="15" t="str">
        <f aca="true">IF(OR(A147="",D147="Выполнено"),"",IF(F147="",IF(AND(G147&lt;&gt;"",G147&lt;&gt;"Разово"),"↻ "&amp;G147,""),IF(F147&lt;TODAY(),"Просрочено на "&amp;(TODAY()-F147)&amp;" дн.",IF(F147=TODAY(),"Сегодня",IF(F147=TODAY()+1,"Завтра","Через "&amp;(F147-TODAY())&amp;" дн.")))))</f>
        <v/>
      </c>
    </row>
    <row r="148" customFormat="false" ht="21.75" hidden="false" customHeight="true" outlineLevel="0" collapsed="false">
      <c r="A148" s="12"/>
      <c r="B148" s="12"/>
      <c r="C148" s="13"/>
      <c r="D148" s="13"/>
      <c r="E148" s="14"/>
      <c r="F148" s="14"/>
      <c r="G148" s="13"/>
      <c r="H148" s="13"/>
      <c r="I148" s="12"/>
      <c r="J148" s="15" t="str">
        <f aca="true">IF(OR(A148="",D148="Выполнено"),"",IF(F148="",IF(AND(G148&lt;&gt;"",G148&lt;&gt;"Разово"),"↻ "&amp;G148,""),IF(F148&lt;TODAY(),"Просрочено на "&amp;(TODAY()-F148)&amp;" дн.",IF(F148=TODAY(),"Сегодня",IF(F148=TODAY()+1,"Завтра","Через "&amp;(F148-TODAY())&amp;" дн.")))))</f>
        <v/>
      </c>
    </row>
    <row r="149" customFormat="false" ht="21.75" hidden="false" customHeight="true" outlineLevel="0" collapsed="false">
      <c r="A149" s="12"/>
      <c r="B149" s="12"/>
      <c r="C149" s="13"/>
      <c r="D149" s="13"/>
      <c r="E149" s="14"/>
      <c r="F149" s="14"/>
      <c r="G149" s="13"/>
      <c r="H149" s="13"/>
      <c r="I149" s="12"/>
      <c r="J149" s="15" t="str">
        <f aca="true">IF(OR(A149="",D149="Выполнено"),"",IF(F149="",IF(AND(G149&lt;&gt;"",G149&lt;&gt;"Разово"),"↻ "&amp;G149,""),IF(F149&lt;TODAY(),"Просрочено на "&amp;(TODAY()-F149)&amp;" дн.",IF(F149=TODAY(),"Сегодня",IF(F149=TODAY()+1,"Завтра","Через "&amp;(F149-TODAY())&amp;" дн.")))))</f>
        <v/>
      </c>
    </row>
    <row r="150" customFormat="false" ht="21.75" hidden="false" customHeight="true" outlineLevel="0" collapsed="false">
      <c r="A150" s="12"/>
      <c r="B150" s="12"/>
      <c r="C150" s="13"/>
      <c r="D150" s="13"/>
      <c r="E150" s="14"/>
      <c r="F150" s="14"/>
      <c r="G150" s="13"/>
      <c r="H150" s="13"/>
      <c r="I150" s="12"/>
      <c r="J150" s="15" t="str">
        <f aca="true">IF(OR(A150="",D150="Выполнено"),"",IF(F150="",IF(AND(G150&lt;&gt;"",G150&lt;&gt;"Разово"),"↻ "&amp;G150,""),IF(F150&lt;TODAY(),"Просрочено на "&amp;(TODAY()-F150)&amp;" дн.",IF(F150=TODAY(),"Сегодня",IF(F150=TODAY()+1,"Завтра","Через "&amp;(F150-TODAY())&amp;" дн.")))))</f>
        <v/>
      </c>
    </row>
    <row r="151" customFormat="false" ht="21.75" hidden="false" customHeight="true" outlineLevel="0" collapsed="false">
      <c r="A151" s="12"/>
      <c r="B151" s="12"/>
      <c r="C151" s="13"/>
      <c r="D151" s="13"/>
      <c r="E151" s="14"/>
      <c r="F151" s="14"/>
      <c r="G151" s="13"/>
      <c r="H151" s="13"/>
      <c r="I151" s="12"/>
      <c r="J151" s="15" t="str">
        <f aca="true">IF(OR(A151="",D151="Выполнено"),"",IF(F151="",IF(AND(G151&lt;&gt;"",G151&lt;&gt;"Разово"),"↻ "&amp;G151,""),IF(F151&lt;TODAY(),"Просрочено на "&amp;(TODAY()-F151)&amp;" дн.",IF(F151=TODAY(),"Сегодня",IF(F151=TODAY()+1,"Завтра","Через "&amp;(F151-TODAY())&amp;" дн.")))))</f>
        <v/>
      </c>
    </row>
    <row r="152" customFormat="false" ht="21.75" hidden="false" customHeight="true" outlineLevel="0" collapsed="false">
      <c r="A152" s="12"/>
      <c r="B152" s="12"/>
      <c r="C152" s="13"/>
      <c r="D152" s="13"/>
      <c r="E152" s="14"/>
      <c r="F152" s="14"/>
      <c r="G152" s="13"/>
      <c r="H152" s="13"/>
      <c r="I152" s="12"/>
      <c r="J152" s="15" t="str">
        <f aca="true">IF(OR(A152="",D152="Выполнено"),"",IF(F152="",IF(AND(G152&lt;&gt;"",G152&lt;&gt;"Разово"),"↻ "&amp;G152,""),IF(F152&lt;TODAY(),"Просрочено на "&amp;(TODAY()-F152)&amp;" дн.",IF(F152=TODAY(),"Сегодня",IF(F152=TODAY()+1,"Завтра","Через "&amp;(F152-TODAY())&amp;" дн.")))))</f>
        <v/>
      </c>
    </row>
    <row r="153" customFormat="false" ht="21.75" hidden="false" customHeight="true" outlineLevel="0" collapsed="false">
      <c r="A153" s="12"/>
      <c r="B153" s="12"/>
      <c r="C153" s="13"/>
      <c r="D153" s="13"/>
      <c r="E153" s="14"/>
      <c r="F153" s="14"/>
      <c r="G153" s="13"/>
      <c r="H153" s="13"/>
      <c r="I153" s="12"/>
      <c r="J153" s="15" t="str">
        <f aca="true">IF(OR(A153="",D153="Выполнено"),"",IF(F153="",IF(AND(G153&lt;&gt;"",G153&lt;&gt;"Разово"),"↻ "&amp;G153,""),IF(F153&lt;TODAY(),"Просрочено на "&amp;(TODAY()-F153)&amp;" дн.",IF(F153=TODAY(),"Сегодня",IF(F153=TODAY()+1,"Завтра","Через "&amp;(F153-TODAY())&amp;" дн.")))))</f>
        <v/>
      </c>
    </row>
    <row r="154" customFormat="false" ht="21.75" hidden="false" customHeight="true" outlineLevel="0" collapsed="false">
      <c r="A154" s="12"/>
      <c r="B154" s="12"/>
      <c r="C154" s="13"/>
      <c r="D154" s="13"/>
      <c r="E154" s="14"/>
      <c r="F154" s="14"/>
      <c r="G154" s="13"/>
      <c r="H154" s="13"/>
      <c r="I154" s="12"/>
      <c r="J154" s="15" t="str">
        <f aca="true">IF(OR(A154="",D154="Выполнено"),"",IF(F154="",IF(AND(G154&lt;&gt;"",G154&lt;&gt;"Разово"),"↻ "&amp;G154,""),IF(F154&lt;TODAY(),"Просрочено на "&amp;(TODAY()-F154)&amp;" дн.",IF(F154=TODAY(),"Сегодня",IF(F154=TODAY()+1,"Завтра","Через "&amp;(F154-TODAY())&amp;" дн.")))))</f>
        <v/>
      </c>
    </row>
    <row r="155" customFormat="false" ht="21.75" hidden="false" customHeight="true" outlineLevel="0" collapsed="false">
      <c r="A155" s="12"/>
      <c r="B155" s="12"/>
      <c r="C155" s="13"/>
      <c r="D155" s="13"/>
      <c r="E155" s="14"/>
      <c r="F155" s="14"/>
      <c r="G155" s="13"/>
      <c r="H155" s="13"/>
      <c r="I155" s="12"/>
      <c r="J155" s="15" t="str">
        <f aca="true">IF(OR(A155="",D155="Выполнено"),"",IF(F155="",IF(AND(G155&lt;&gt;"",G155&lt;&gt;"Разово"),"↻ "&amp;G155,""),IF(F155&lt;TODAY(),"Просрочено на "&amp;(TODAY()-F155)&amp;" дн.",IF(F155=TODAY(),"Сегодня",IF(F155=TODAY()+1,"Завтра","Через "&amp;(F155-TODAY())&amp;" дн.")))))</f>
        <v/>
      </c>
    </row>
    <row r="156" customFormat="false" ht="21.75" hidden="false" customHeight="true" outlineLevel="0" collapsed="false">
      <c r="A156" s="12"/>
      <c r="B156" s="12"/>
      <c r="C156" s="13"/>
      <c r="D156" s="13"/>
      <c r="E156" s="14"/>
      <c r="F156" s="14"/>
      <c r="G156" s="13"/>
      <c r="H156" s="13"/>
      <c r="I156" s="12"/>
      <c r="J156" s="15" t="str">
        <f aca="true">IF(OR(A156="",D156="Выполнено"),"",IF(F156="",IF(AND(G156&lt;&gt;"",G156&lt;&gt;"Разово"),"↻ "&amp;G156,""),IF(F156&lt;TODAY(),"Просрочено на "&amp;(TODAY()-F156)&amp;" дн.",IF(F156=TODAY(),"Сегодня",IF(F156=TODAY()+1,"Завтра","Через "&amp;(F156-TODAY())&amp;" дн.")))))</f>
        <v/>
      </c>
    </row>
    <row r="157" customFormat="false" ht="21.75" hidden="false" customHeight="true" outlineLevel="0" collapsed="false">
      <c r="A157" s="12"/>
      <c r="B157" s="12"/>
      <c r="C157" s="13"/>
      <c r="D157" s="13"/>
      <c r="E157" s="14"/>
      <c r="F157" s="14"/>
      <c r="G157" s="13"/>
      <c r="H157" s="13"/>
      <c r="I157" s="12"/>
      <c r="J157" s="15" t="str">
        <f aca="true">IF(OR(A157="",D157="Выполнено"),"",IF(F157="",IF(AND(G157&lt;&gt;"",G157&lt;&gt;"Разово"),"↻ "&amp;G157,""),IF(F157&lt;TODAY(),"Просрочено на "&amp;(TODAY()-F157)&amp;" дн.",IF(F157=TODAY(),"Сегодня",IF(F157=TODAY()+1,"Завтра","Через "&amp;(F157-TODAY())&amp;" дн.")))))</f>
        <v/>
      </c>
    </row>
    <row r="158" customFormat="false" ht="21.75" hidden="false" customHeight="true" outlineLevel="0" collapsed="false">
      <c r="A158" s="12"/>
      <c r="B158" s="12"/>
      <c r="C158" s="13"/>
      <c r="D158" s="13"/>
      <c r="E158" s="14"/>
      <c r="F158" s="14"/>
      <c r="G158" s="13"/>
      <c r="H158" s="13"/>
      <c r="I158" s="12"/>
      <c r="J158" s="15" t="str">
        <f aca="true">IF(OR(A158="",D158="Выполнено"),"",IF(F158="",IF(AND(G158&lt;&gt;"",G158&lt;&gt;"Разово"),"↻ "&amp;G158,""),IF(F158&lt;TODAY(),"Просрочено на "&amp;(TODAY()-F158)&amp;" дн.",IF(F158=TODAY(),"Сегодня",IF(F158=TODAY()+1,"Завтра","Через "&amp;(F158-TODAY())&amp;" дн.")))))</f>
        <v/>
      </c>
    </row>
    <row r="159" customFormat="false" ht="21.75" hidden="false" customHeight="true" outlineLevel="0" collapsed="false">
      <c r="A159" s="12"/>
      <c r="B159" s="12"/>
      <c r="C159" s="13"/>
      <c r="D159" s="13"/>
      <c r="E159" s="14"/>
      <c r="F159" s="14"/>
      <c r="G159" s="13"/>
      <c r="H159" s="13"/>
      <c r="I159" s="12"/>
      <c r="J159" s="15" t="str">
        <f aca="true">IF(OR(A159="",D159="Выполнено"),"",IF(F159="",IF(AND(G159&lt;&gt;"",G159&lt;&gt;"Разово"),"↻ "&amp;G159,""),IF(F159&lt;TODAY(),"Просрочено на "&amp;(TODAY()-F159)&amp;" дн.",IF(F159=TODAY(),"Сегодня",IF(F159=TODAY()+1,"Завтра","Через "&amp;(F159-TODAY())&amp;" дн.")))))</f>
        <v/>
      </c>
    </row>
    <row r="160" customFormat="false" ht="21.75" hidden="false" customHeight="true" outlineLevel="0" collapsed="false">
      <c r="A160" s="12"/>
      <c r="B160" s="12"/>
      <c r="C160" s="13"/>
      <c r="D160" s="13"/>
      <c r="E160" s="14"/>
      <c r="F160" s="14"/>
      <c r="G160" s="13"/>
      <c r="H160" s="13"/>
      <c r="I160" s="12"/>
      <c r="J160" s="15" t="str">
        <f aca="true">IF(OR(A160="",D160="Выполнено"),"",IF(F160="",IF(AND(G160&lt;&gt;"",G160&lt;&gt;"Разово"),"↻ "&amp;G160,""),IF(F160&lt;TODAY(),"Просрочено на "&amp;(TODAY()-F160)&amp;" дн.",IF(F160=TODAY(),"Сегодня",IF(F160=TODAY()+1,"Завтра","Через "&amp;(F160-TODAY())&amp;" дн.")))))</f>
        <v/>
      </c>
    </row>
    <row r="161" customFormat="false" ht="21.75" hidden="false" customHeight="true" outlineLevel="0" collapsed="false">
      <c r="A161" s="12"/>
      <c r="B161" s="12"/>
      <c r="C161" s="13"/>
      <c r="D161" s="13"/>
      <c r="E161" s="14"/>
      <c r="F161" s="14"/>
      <c r="G161" s="13"/>
      <c r="H161" s="13"/>
      <c r="I161" s="12"/>
      <c r="J161" s="15" t="str">
        <f aca="true">IF(OR(A161="",D161="Выполнено"),"",IF(F161="",IF(AND(G161&lt;&gt;"",G161&lt;&gt;"Разово"),"↻ "&amp;G161,""),IF(F161&lt;TODAY(),"Просрочено на "&amp;(TODAY()-F161)&amp;" дн.",IF(F161=TODAY(),"Сегодня",IF(F161=TODAY()+1,"Завтра","Через "&amp;(F161-TODAY())&amp;" дн.")))))</f>
        <v/>
      </c>
    </row>
    <row r="162" customFormat="false" ht="21.75" hidden="false" customHeight="true" outlineLevel="0" collapsed="false">
      <c r="A162" s="12"/>
      <c r="B162" s="12"/>
      <c r="C162" s="13"/>
      <c r="D162" s="13"/>
      <c r="E162" s="14"/>
      <c r="F162" s="14"/>
      <c r="G162" s="13"/>
      <c r="H162" s="13"/>
      <c r="I162" s="12"/>
      <c r="J162" s="15" t="str">
        <f aca="true">IF(OR(A162="",D162="Выполнено"),"",IF(F162="",IF(AND(G162&lt;&gt;"",G162&lt;&gt;"Разово"),"↻ "&amp;G162,""),IF(F162&lt;TODAY(),"Просрочено на "&amp;(TODAY()-F162)&amp;" дн.",IF(F162=TODAY(),"Сегодня",IF(F162=TODAY()+1,"Завтра","Через "&amp;(F162-TODAY())&amp;" дн.")))))</f>
        <v/>
      </c>
    </row>
    <row r="163" customFormat="false" ht="21.75" hidden="false" customHeight="true" outlineLevel="0" collapsed="false">
      <c r="A163" s="12"/>
      <c r="B163" s="12"/>
      <c r="C163" s="13"/>
      <c r="D163" s="13"/>
      <c r="E163" s="14"/>
      <c r="F163" s="14"/>
      <c r="G163" s="13"/>
      <c r="H163" s="13"/>
      <c r="I163" s="12"/>
      <c r="J163" s="15" t="str">
        <f aca="true">IF(OR(A163="",D163="Выполнено"),"",IF(F163="",IF(AND(G163&lt;&gt;"",G163&lt;&gt;"Разово"),"↻ "&amp;G163,""),IF(F163&lt;TODAY(),"Просрочено на "&amp;(TODAY()-F163)&amp;" дн.",IF(F163=TODAY(),"Сегодня",IF(F163=TODAY()+1,"Завтра","Через "&amp;(F163-TODAY())&amp;" дн.")))))</f>
        <v/>
      </c>
    </row>
    <row r="164" customFormat="false" ht="21.75" hidden="false" customHeight="true" outlineLevel="0" collapsed="false">
      <c r="A164" s="12"/>
      <c r="B164" s="12"/>
      <c r="C164" s="13"/>
      <c r="D164" s="13"/>
      <c r="E164" s="14"/>
      <c r="F164" s="14"/>
      <c r="G164" s="13"/>
      <c r="H164" s="13"/>
      <c r="I164" s="12"/>
      <c r="J164" s="15" t="str">
        <f aca="true">IF(OR(A164="",D164="Выполнено"),"",IF(F164="",IF(AND(G164&lt;&gt;"",G164&lt;&gt;"Разово"),"↻ "&amp;G164,""),IF(F164&lt;TODAY(),"Просрочено на "&amp;(TODAY()-F164)&amp;" дн.",IF(F164=TODAY(),"Сегодня",IF(F164=TODAY()+1,"Завтра","Через "&amp;(F164-TODAY())&amp;" дн.")))))</f>
        <v/>
      </c>
    </row>
    <row r="165" customFormat="false" ht="21.75" hidden="false" customHeight="true" outlineLevel="0" collapsed="false">
      <c r="A165" s="12"/>
      <c r="B165" s="12"/>
      <c r="C165" s="13"/>
      <c r="D165" s="13"/>
      <c r="E165" s="14"/>
      <c r="F165" s="14"/>
      <c r="G165" s="13"/>
      <c r="H165" s="13"/>
      <c r="I165" s="12"/>
      <c r="J165" s="15" t="str">
        <f aca="true">IF(OR(A165="",D165="Выполнено"),"",IF(F165="",IF(AND(G165&lt;&gt;"",G165&lt;&gt;"Разово"),"↻ "&amp;G165,""),IF(F165&lt;TODAY(),"Просрочено на "&amp;(TODAY()-F165)&amp;" дн.",IF(F165=TODAY(),"Сегодня",IF(F165=TODAY()+1,"Завтра","Через "&amp;(F165-TODAY())&amp;" дн.")))))</f>
        <v/>
      </c>
    </row>
    <row r="166" customFormat="false" ht="21.75" hidden="false" customHeight="true" outlineLevel="0" collapsed="false">
      <c r="A166" s="12"/>
      <c r="B166" s="12"/>
      <c r="C166" s="13"/>
      <c r="D166" s="13"/>
      <c r="E166" s="14"/>
      <c r="F166" s="14"/>
      <c r="G166" s="13"/>
      <c r="H166" s="13"/>
      <c r="I166" s="12"/>
      <c r="J166" s="15" t="str">
        <f aca="true">IF(OR(A166="",D166="Выполнено"),"",IF(F166="",IF(AND(G166&lt;&gt;"",G166&lt;&gt;"Разово"),"↻ "&amp;G166,""),IF(F166&lt;TODAY(),"Просрочено на "&amp;(TODAY()-F166)&amp;" дн.",IF(F166=TODAY(),"Сегодня",IF(F166=TODAY()+1,"Завтра","Через "&amp;(F166-TODAY())&amp;" дн.")))))</f>
        <v/>
      </c>
    </row>
    <row r="167" customFormat="false" ht="21.75" hidden="false" customHeight="true" outlineLevel="0" collapsed="false">
      <c r="A167" s="12"/>
      <c r="B167" s="12"/>
      <c r="C167" s="13"/>
      <c r="D167" s="13"/>
      <c r="E167" s="14"/>
      <c r="F167" s="14"/>
      <c r="G167" s="13"/>
      <c r="H167" s="13"/>
      <c r="I167" s="12"/>
      <c r="J167" s="15" t="str">
        <f aca="true">IF(OR(A167="",D167="Выполнено"),"",IF(F167="",IF(AND(G167&lt;&gt;"",G167&lt;&gt;"Разово"),"↻ "&amp;G167,""),IF(F167&lt;TODAY(),"Просрочено на "&amp;(TODAY()-F167)&amp;" дн.",IF(F167=TODAY(),"Сегодня",IF(F167=TODAY()+1,"Завтра","Через "&amp;(F167-TODAY())&amp;" дн.")))))</f>
        <v/>
      </c>
    </row>
    <row r="168" customFormat="false" ht="21.75" hidden="false" customHeight="true" outlineLevel="0" collapsed="false">
      <c r="A168" s="12"/>
      <c r="B168" s="12"/>
      <c r="C168" s="13"/>
      <c r="D168" s="13"/>
      <c r="E168" s="14"/>
      <c r="F168" s="14"/>
      <c r="G168" s="13"/>
      <c r="H168" s="13"/>
      <c r="I168" s="12"/>
      <c r="J168" s="15" t="str">
        <f aca="true">IF(OR(A168="",D168="Выполнено"),"",IF(F168="",IF(AND(G168&lt;&gt;"",G168&lt;&gt;"Разово"),"↻ "&amp;G168,""),IF(F168&lt;TODAY(),"Просрочено на "&amp;(TODAY()-F168)&amp;" дн.",IF(F168=TODAY(),"Сегодня",IF(F168=TODAY()+1,"Завтра","Через "&amp;(F168-TODAY())&amp;" дн.")))))</f>
        <v/>
      </c>
    </row>
    <row r="169" customFormat="false" ht="21.75" hidden="false" customHeight="true" outlineLevel="0" collapsed="false">
      <c r="A169" s="12"/>
      <c r="B169" s="12"/>
      <c r="C169" s="13"/>
      <c r="D169" s="13"/>
      <c r="E169" s="14"/>
      <c r="F169" s="14"/>
      <c r="G169" s="13"/>
      <c r="H169" s="13"/>
      <c r="I169" s="12"/>
      <c r="J169" s="15" t="str">
        <f aca="true">IF(OR(A169="",D169="Выполнено"),"",IF(F169="",IF(AND(G169&lt;&gt;"",G169&lt;&gt;"Разово"),"↻ "&amp;G169,""),IF(F169&lt;TODAY(),"Просрочено на "&amp;(TODAY()-F169)&amp;" дн.",IF(F169=TODAY(),"Сегодня",IF(F169=TODAY()+1,"Завтра","Через "&amp;(F169-TODAY())&amp;" дн.")))))</f>
        <v/>
      </c>
    </row>
    <row r="170" customFormat="false" ht="21.75" hidden="false" customHeight="true" outlineLevel="0" collapsed="false">
      <c r="A170" s="12"/>
      <c r="B170" s="12"/>
      <c r="C170" s="13"/>
      <c r="D170" s="13"/>
      <c r="E170" s="14"/>
      <c r="F170" s="14"/>
      <c r="G170" s="13"/>
      <c r="H170" s="13"/>
      <c r="I170" s="12"/>
      <c r="J170" s="15" t="str">
        <f aca="true">IF(OR(A170="",D170="Выполнено"),"",IF(F170="",IF(AND(G170&lt;&gt;"",G170&lt;&gt;"Разово"),"↻ "&amp;G170,""),IF(F170&lt;TODAY(),"Просрочено на "&amp;(TODAY()-F170)&amp;" дн.",IF(F170=TODAY(),"Сегодня",IF(F170=TODAY()+1,"Завтра","Через "&amp;(F170-TODAY())&amp;" дн.")))))</f>
        <v/>
      </c>
    </row>
    <row r="171" customFormat="false" ht="21.75" hidden="false" customHeight="true" outlineLevel="0" collapsed="false">
      <c r="A171" s="12"/>
      <c r="B171" s="12"/>
      <c r="C171" s="13"/>
      <c r="D171" s="13"/>
      <c r="E171" s="14"/>
      <c r="F171" s="14"/>
      <c r="G171" s="13"/>
      <c r="H171" s="13"/>
      <c r="I171" s="12"/>
      <c r="J171" s="15" t="str">
        <f aca="true">IF(OR(A171="",D171="Выполнено"),"",IF(F171="",IF(AND(G171&lt;&gt;"",G171&lt;&gt;"Разово"),"↻ "&amp;G171,""),IF(F171&lt;TODAY(),"Просрочено на "&amp;(TODAY()-F171)&amp;" дн.",IF(F171=TODAY(),"Сегодня",IF(F171=TODAY()+1,"Завтра","Через "&amp;(F171-TODAY())&amp;" дн.")))))</f>
        <v/>
      </c>
    </row>
    <row r="172" customFormat="false" ht="21.75" hidden="false" customHeight="true" outlineLevel="0" collapsed="false">
      <c r="A172" s="12"/>
      <c r="B172" s="12"/>
      <c r="C172" s="13"/>
      <c r="D172" s="13"/>
      <c r="E172" s="14"/>
      <c r="F172" s="14"/>
      <c r="G172" s="13"/>
      <c r="H172" s="13"/>
      <c r="I172" s="12"/>
      <c r="J172" s="15" t="str">
        <f aca="true">IF(OR(A172="",D172="Выполнено"),"",IF(F172="",IF(AND(G172&lt;&gt;"",G172&lt;&gt;"Разово"),"↻ "&amp;G172,""),IF(F172&lt;TODAY(),"Просрочено на "&amp;(TODAY()-F172)&amp;" дн.",IF(F172=TODAY(),"Сегодня",IF(F172=TODAY()+1,"Завтра","Через "&amp;(F172-TODAY())&amp;" дн.")))))</f>
        <v/>
      </c>
    </row>
    <row r="173" customFormat="false" ht="21.75" hidden="false" customHeight="true" outlineLevel="0" collapsed="false">
      <c r="A173" s="12"/>
      <c r="B173" s="12"/>
      <c r="C173" s="13"/>
      <c r="D173" s="13"/>
      <c r="E173" s="14"/>
      <c r="F173" s="14"/>
      <c r="G173" s="13"/>
      <c r="H173" s="13"/>
      <c r="I173" s="12"/>
      <c r="J173" s="15" t="str">
        <f aca="true">IF(OR(A173="",D173="Выполнено"),"",IF(F173="",IF(AND(G173&lt;&gt;"",G173&lt;&gt;"Разово"),"↻ "&amp;G173,""),IF(F173&lt;TODAY(),"Просрочено на "&amp;(TODAY()-F173)&amp;" дн.",IF(F173=TODAY(),"Сегодня",IF(F173=TODAY()+1,"Завтра","Через "&amp;(F173-TODAY())&amp;" дн.")))))</f>
        <v/>
      </c>
    </row>
    <row r="174" customFormat="false" ht="21.75" hidden="false" customHeight="true" outlineLevel="0" collapsed="false">
      <c r="A174" s="12"/>
      <c r="B174" s="12"/>
      <c r="C174" s="13"/>
      <c r="D174" s="13"/>
      <c r="E174" s="14"/>
      <c r="F174" s="14"/>
      <c r="G174" s="13"/>
      <c r="H174" s="13"/>
      <c r="I174" s="12"/>
      <c r="J174" s="15" t="str">
        <f aca="true">IF(OR(A174="",D174="Выполнено"),"",IF(F174="",IF(AND(G174&lt;&gt;"",G174&lt;&gt;"Разово"),"↻ "&amp;G174,""),IF(F174&lt;TODAY(),"Просрочено на "&amp;(TODAY()-F174)&amp;" дн.",IF(F174=TODAY(),"Сегодня",IF(F174=TODAY()+1,"Завтра","Через "&amp;(F174-TODAY())&amp;" дн.")))))</f>
        <v/>
      </c>
    </row>
    <row r="175" customFormat="false" ht="21.75" hidden="false" customHeight="true" outlineLevel="0" collapsed="false">
      <c r="A175" s="12"/>
      <c r="B175" s="12"/>
      <c r="C175" s="13"/>
      <c r="D175" s="13"/>
      <c r="E175" s="14"/>
      <c r="F175" s="14"/>
      <c r="G175" s="13"/>
      <c r="H175" s="13"/>
      <c r="I175" s="12"/>
      <c r="J175" s="15" t="str">
        <f aca="true">IF(OR(A175="",D175="Выполнено"),"",IF(F175="",IF(AND(G175&lt;&gt;"",G175&lt;&gt;"Разово"),"↻ "&amp;G175,""),IF(F175&lt;TODAY(),"Просрочено на "&amp;(TODAY()-F175)&amp;" дн.",IF(F175=TODAY(),"Сегодня",IF(F175=TODAY()+1,"Завтра","Через "&amp;(F175-TODAY())&amp;" дн.")))))</f>
        <v/>
      </c>
    </row>
    <row r="176" customFormat="false" ht="21.75" hidden="false" customHeight="true" outlineLevel="0" collapsed="false">
      <c r="A176" s="12"/>
      <c r="B176" s="12"/>
      <c r="C176" s="13"/>
      <c r="D176" s="13"/>
      <c r="E176" s="14"/>
      <c r="F176" s="14"/>
      <c r="G176" s="13"/>
      <c r="H176" s="13"/>
      <c r="I176" s="12"/>
      <c r="J176" s="15" t="str">
        <f aca="true">IF(OR(A176="",D176="Выполнено"),"",IF(F176="",IF(AND(G176&lt;&gt;"",G176&lt;&gt;"Разово"),"↻ "&amp;G176,""),IF(F176&lt;TODAY(),"Просрочено на "&amp;(TODAY()-F176)&amp;" дн.",IF(F176=TODAY(),"Сегодня",IF(F176=TODAY()+1,"Завтра","Через "&amp;(F176-TODAY())&amp;" дн.")))))</f>
        <v/>
      </c>
    </row>
    <row r="177" customFormat="false" ht="21.75" hidden="false" customHeight="true" outlineLevel="0" collapsed="false">
      <c r="A177" s="12"/>
      <c r="B177" s="12"/>
      <c r="C177" s="13"/>
      <c r="D177" s="13"/>
      <c r="E177" s="14"/>
      <c r="F177" s="14"/>
      <c r="G177" s="13"/>
      <c r="H177" s="13"/>
      <c r="I177" s="12"/>
      <c r="J177" s="15" t="str">
        <f aca="true">IF(OR(A177="",D177="Выполнено"),"",IF(F177="",IF(AND(G177&lt;&gt;"",G177&lt;&gt;"Разово"),"↻ "&amp;G177,""),IF(F177&lt;TODAY(),"Просрочено на "&amp;(TODAY()-F177)&amp;" дн.",IF(F177=TODAY(),"Сегодня",IF(F177=TODAY()+1,"Завтра","Через "&amp;(F177-TODAY())&amp;" дн.")))))</f>
        <v/>
      </c>
    </row>
    <row r="178" customFormat="false" ht="21.75" hidden="false" customHeight="true" outlineLevel="0" collapsed="false">
      <c r="A178" s="12"/>
      <c r="B178" s="12"/>
      <c r="C178" s="13"/>
      <c r="D178" s="13"/>
      <c r="E178" s="14"/>
      <c r="F178" s="14"/>
      <c r="G178" s="13"/>
      <c r="H178" s="13"/>
      <c r="I178" s="12"/>
      <c r="J178" s="15" t="str">
        <f aca="true">IF(OR(A178="",D178="Выполнено"),"",IF(F178="",IF(AND(G178&lt;&gt;"",G178&lt;&gt;"Разово"),"↻ "&amp;G178,""),IF(F178&lt;TODAY(),"Просрочено на "&amp;(TODAY()-F178)&amp;" дн.",IF(F178=TODAY(),"Сегодня",IF(F178=TODAY()+1,"Завтра","Через "&amp;(F178-TODAY())&amp;" дн.")))))</f>
        <v/>
      </c>
    </row>
    <row r="179" customFormat="false" ht="21.75" hidden="false" customHeight="true" outlineLevel="0" collapsed="false">
      <c r="A179" s="12"/>
      <c r="B179" s="12"/>
      <c r="C179" s="13"/>
      <c r="D179" s="13"/>
      <c r="E179" s="14"/>
      <c r="F179" s="14"/>
      <c r="G179" s="13"/>
      <c r="H179" s="13"/>
      <c r="I179" s="12"/>
      <c r="J179" s="15" t="str">
        <f aca="true">IF(OR(A179="",D179="Выполнено"),"",IF(F179="",IF(AND(G179&lt;&gt;"",G179&lt;&gt;"Разово"),"↻ "&amp;G179,""),IF(F179&lt;TODAY(),"Просрочено на "&amp;(TODAY()-F179)&amp;" дн.",IF(F179=TODAY(),"Сегодня",IF(F179=TODAY()+1,"Завтра","Через "&amp;(F179-TODAY())&amp;" дн.")))))</f>
        <v/>
      </c>
    </row>
    <row r="180" customFormat="false" ht="21.75" hidden="false" customHeight="true" outlineLevel="0" collapsed="false">
      <c r="A180" s="12"/>
      <c r="B180" s="12"/>
      <c r="C180" s="13"/>
      <c r="D180" s="13"/>
      <c r="E180" s="14"/>
      <c r="F180" s="14"/>
      <c r="G180" s="13"/>
      <c r="H180" s="13"/>
      <c r="I180" s="12"/>
      <c r="J180" s="15" t="str">
        <f aca="true">IF(OR(A180="",D180="Выполнено"),"",IF(F180="",IF(AND(G180&lt;&gt;"",G180&lt;&gt;"Разово"),"↻ "&amp;G180,""),IF(F180&lt;TODAY(),"Просрочено на "&amp;(TODAY()-F180)&amp;" дн.",IF(F180=TODAY(),"Сегодня",IF(F180=TODAY()+1,"Завтра","Через "&amp;(F180-TODAY())&amp;" дн.")))))</f>
        <v/>
      </c>
    </row>
    <row r="181" customFormat="false" ht="21.75" hidden="false" customHeight="true" outlineLevel="0" collapsed="false">
      <c r="A181" s="12"/>
      <c r="B181" s="12"/>
      <c r="C181" s="13"/>
      <c r="D181" s="13"/>
      <c r="E181" s="14"/>
      <c r="F181" s="14"/>
      <c r="G181" s="13"/>
      <c r="H181" s="13"/>
      <c r="I181" s="12"/>
      <c r="J181" s="15" t="str">
        <f aca="true">IF(OR(A181="",D181="Выполнено"),"",IF(F181="",IF(AND(G181&lt;&gt;"",G181&lt;&gt;"Разово"),"↻ "&amp;G181,""),IF(F181&lt;TODAY(),"Просрочено на "&amp;(TODAY()-F181)&amp;" дн.",IF(F181=TODAY(),"Сегодня",IF(F181=TODAY()+1,"Завтра","Через "&amp;(F181-TODAY())&amp;" дн.")))))</f>
        <v/>
      </c>
    </row>
    <row r="182" customFormat="false" ht="21.75" hidden="false" customHeight="true" outlineLevel="0" collapsed="false">
      <c r="A182" s="12"/>
      <c r="B182" s="12"/>
      <c r="C182" s="13"/>
      <c r="D182" s="13"/>
      <c r="E182" s="14"/>
      <c r="F182" s="14"/>
      <c r="G182" s="13"/>
      <c r="H182" s="13"/>
      <c r="I182" s="12"/>
      <c r="J182" s="15" t="str">
        <f aca="true">IF(OR(A182="",D182="Выполнено"),"",IF(F182="",IF(AND(G182&lt;&gt;"",G182&lt;&gt;"Разово"),"↻ "&amp;G182,""),IF(F182&lt;TODAY(),"Просрочено на "&amp;(TODAY()-F182)&amp;" дн.",IF(F182=TODAY(),"Сегодня",IF(F182=TODAY()+1,"Завтра","Через "&amp;(F182-TODAY())&amp;" дн.")))))</f>
        <v/>
      </c>
    </row>
    <row r="183" customFormat="false" ht="21.75" hidden="false" customHeight="true" outlineLevel="0" collapsed="false">
      <c r="A183" s="12"/>
      <c r="B183" s="12"/>
      <c r="C183" s="13"/>
      <c r="D183" s="13"/>
      <c r="E183" s="14"/>
      <c r="F183" s="14"/>
      <c r="G183" s="13"/>
      <c r="H183" s="13"/>
      <c r="I183" s="12"/>
      <c r="J183" s="15" t="str">
        <f aca="true">IF(OR(A183="",D183="Выполнено"),"",IF(F183="",IF(AND(G183&lt;&gt;"",G183&lt;&gt;"Разово"),"↻ "&amp;G183,""),IF(F183&lt;TODAY(),"Просрочено на "&amp;(TODAY()-F183)&amp;" дн.",IF(F183=TODAY(),"Сегодня",IF(F183=TODAY()+1,"Завтра","Через "&amp;(F183-TODAY())&amp;" дн.")))))</f>
        <v/>
      </c>
    </row>
    <row r="184" customFormat="false" ht="21.75" hidden="false" customHeight="true" outlineLevel="0" collapsed="false">
      <c r="A184" s="12"/>
      <c r="B184" s="12"/>
      <c r="C184" s="13"/>
      <c r="D184" s="13"/>
      <c r="E184" s="14"/>
      <c r="F184" s="14"/>
      <c r="G184" s="13"/>
      <c r="H184" s="13"/>
      <c r="I184" s="12"/>
      <c r="J184" s="15" t="str">
        <f aca="true">IF(OR(A184="",D184="Выполнено"),"",IF(F184="",IF(AND(G184&lt;&gt;"",G184&lt;&gt;"Разово"),"↻ "&amp;G184,""),IF(F184&lt;TODAY(),"Просрочено на "&amp;(TODAY()-F184)&amp;" дн.",IF(F184=TODAY(),"Сегодня",IF(F184=TODAY()+1,"Завтра","Через "&amp;(F184-TODAY())&amp;" дн.")))))</f>
        <v/>
      </c>
    </row>
    <row r="185" customFormat="false" ht="21.75" hidden="false" customHeight="true" outlineLevel="0" collapsed="false">
      <c r="A185" s="12"/>
      <c r="B185" s="12"/>
      <c r="C185" s="13"/>
      <c r="D185" s="13"/>
      <c r="E185" s="14"/>
      <c r="F185" s="14"/>
      <c r="G185" s="13"/>
      <c r="H185" s="13"/>
      <c r="I185" s="12"/>
      <c r="J185" s="15" t="str">
        <f aca="true">IF(OR(A185="",D185="Выполнено"),"",IF(F185="",IF(AND(G185&lt;&gt;"",G185&lt;&gt;"Разово"),"↻ "&amp;G185,""),IF(F185&lt;TODAY(),"Просрочено на "&amp;(TODAY()-F185)&amp;" дн.",IF(F185=TODAY(),"Сегодня",IF(F185=TODAY()+1,"Завтра","Через "&amp;(F185-TODAY())&amp;" дн.")))))</f>
        <v/>
      </c>
    </row>
    <row r="186" customFormat="false" ht="21.75" hidden="false" customHeight="true" outlineLevel="0" collapsed="false">
      <c r="A186" s="12"/>
      <c r="B186" s="12"/>
      <c r="C186" s="13"/>
      <c r="D186" s="13"/>
      <c r="E186" s="14"/>
      <c r="F186" s="14"/>
      <c r="G186" s="13"/>
      <c r="H186" s="13"/>
      <c r="I186" s="12"/>
      <c r="J186" s="15" t="str">
        <f aca="true">IF(OR(A186="",D186="Выполнено"),"",IF(F186="",IF(AND(G186&lt;&gt;"",G186&lt;&gt;"Разово"),"↻ "&amp;G186,""),IF(F186&lt;TODAY(),"Просрочено на "&amp;(TODAY()-F186)&amp;" дн.",IF(F186=TODAY(),"Сегодня",IF(F186=TODAY()+1,"Завтра","Через "&amp;(F186-TODAY())&amp;" дн.")))))</f>
        <v/>
      </c>
    </row>
    <row r="187" customFormat="false" ht="21.75" hidden="false" customHeight="true" outlineLevel="0" collapsed="false">
      <c r="A187" s="12"/>
      <c r="B187" s="12"/>
      <c r="C187" s="13"/>
      <c r="D187" s="13"/>
      <c r="E187" s="14"/>
      <c r="F187" s="14"/>
      <c r="G187" s="13"/>
      <c r="H187" s="13"/>
      <c r="I187" s="12"/>
      <c r="J187" s="15" t="str">
        <f aca="true">IF(OR(A187="",D187="Выполнено"),"",IF(F187="",IF(AND(G187&lt;&gt;"",G187&lt;&gt;"Разово"),"↻ "&amp;G187,""),IF(F187&lt;TODAY(),"Просрочено на "&amp;(TODAY()-F187)&amp;" дн.",IF(F187=TODAY(),"Сегодня",IF(F187=TODAY()+1,"Завтра","Через "&amp;(F187-TODAY())&amp;" дн.")))))</f>
        <v/>
      </c>
    </row>
    <row r="188" customFormat="false" ht="21.75" hidden="false" customHeight="true" outlineLevel="0" collapsed="false">
      <c r="A188" s="12"/>
      <c r="B188" s="12"/>
      <c r="C188" s="13"/>
      <c r="D188" s="13"/>
      <c r="E188" s="14"/>
      <c r="F188" s="14"/>
      <c r="G188" s="13"/>
      <c r="H188" s="13"/>
      <c r="I188" s="12"/>
      <c r="J188" s="15" t="str">
        <f aca="true">IF(OR(A188="",D188="Выполнено"),"",IF(F188="",IF(AND(G188&lt;&gt;"",G188&lt;&gt;"Разово"),"↻ "&amp;G188,""),IF(F188&lt;TODAY(),"Просрочено на "&amp;(TODAY()-F188)&amp;" дн.",IF(F188=TODAY(),"Сегодня",IF(F188=TODAY()+1,"Завтра","Через "&amp;(F188-TODAY())&amp;" дн.")))))</f>
        <v/>
      </c>
    </row>
    <row r="189" customFormat="false" ht="21.75" hidden="false" customHeight="true" outlineLevel="0" collapsed="false">
      <c r="A189" s="12"/>
      <c r="B189" s="12"/>
      <c r="C189" s="13"/>
      <c r="D189" s="13"/>
      <c r="E189" s="14"/>
      <c r="F189" s="14"/>
      <c r="G189" s="13"/>
      <c r="H189" s="13"/>
      <c r="I189" s="12"/>
      <c r="J189" s="15" t="str">
        <f aca="true">IF(OR(A189="",D189="Выполнено"),"",IF(F189="",IF(AND(G189&lt;&gt;"",G189&lt;&gt;"Разово"),"↻ "&amp;G189,""),IF(F189&lt;TODAY(),"Просрочено на "&amp;(TODAY()-F189)&amp;" дн.",IF(F189=TODAY(),"Сегодня",IF(F189=TODAY()+1,"Завтра","Через "&amp;(F189-TODAY())&amp;" дн.")))))</f>
        <v/>
      </c>
    </row>
    <row r="190" customFormat="false" ht="21.75" hidden="false" customHeight="true" outlineLevel="0" collapsed="false">
      <c r="A190" s="12"/>
      <c r="B190" s="12"/>
      <c r="C190" s="13"/>
      <c r="D190" s="13"/>
      <c r="E190" s="14"/>
      <c r="F190" s="14"/>
      <c r="G190" s="13"/>
      <c r="H190" s="13"/>
      <c r="I190" s="12"/>
      <c r="J190" s="15" t="str">
        <f aca="true">IF(OR(A190="",D190="Выполнено"),"",IF(F190="",IF(AND(G190&lt;&gt;"",G190&lt;&gt;"Разово"),"↻ "&amp;G190,""),IF(F190&lt;TODAY(),"Просрочено на "&amp;(TODAY()-F190)&amp;" дн.",IF(F190=TODAY(),"Сегодня",IF(F190=TODAY()+1,"Завтра","Через "&amp;(F190-TODAY())&amp;" дн.")))))</f>
        <v/>
      </c>
    </row>
    <row r="191" customFormat="false" ht="21.75" hidden="false" customHeight="true" outlineLevel="0" collapsed="false">
      <c r="A191" s="12"/>
      <c r="B191" s="12"/>
      <c r="C191" s="13"/>
      <c r="D191" s="13"/>
      <c r="E191" s="14"/>
      <c r="F191" s="14"/>
      <c r="G191" s="13"/>
      <c r="H191" s="13"/>
      <c r="I191" s="12"/>
      <c r="J191" s="15" t="str">
        <f aca="true">IF(OR(A191="",D191="Выполнено"),"",IF(F191="",IF(AND(G191&lt;&gt;"",G191&lt;&gt;"Разово"),"↻ "&amp;G191,""),IF(F191&lt;TODAY(),"Просрочено на "&amp;(TODAY()-F191)&amp;" дн.",IF(F191=TODAY(),"Сегодня",IF(F191=TODAY()+1,"Завтра","Через "&amp;(F191-TODAY())&amp;" дн.")))))</f>
        <v/>
      </c>
    </row>
    <row r="192" customFormat="false" ht="21.75" hidden="false" customHeight="true" outlineLevel="0" collapsed="false">
      <c r="A192" s="12"/>
      <c r="B192" s="12"/>
      <c r="C192" s="13"/>
      <c r="D192" s="13"/>
      <c r="E192" s="14"/>
      <c r="F192" s="14"/>
      <c r="G192" s="13"/>
      <c r="H192" s="13"/>
      <c r="I192" s="12"/>
      <c r="J192" s="15" t="str">
        <f aca="true">IF(OR(A192="",D192="Выполнено"),"",IF(F192="",IF(AND(G192&lt;&gt;"",G192&lt;&gt;"Разово"),"↻ "&amp;G192,""),IF(F192&lt;TODAY(),"Просрочено на "&amp;(TODAY()-F192)&amp;" дн.",IF(F192=TODAY(),"Сегодня",IF(F192=TODAY()+1,"Завтра","Через "&amp;(F192-TODAY())&amp;" дн.")))))</f>
        <v/>
      </c>
    </row>
    <row r="193" customFormat="false" ht="21.75" hidden="false" customHeight="true" outlineLevel="0" collapsed="false">
      <c r="A193" s="12"/>
      <c r="B193" s="12"/>
      <c r="C193" s="13"/>
      <c r="D193" s="13"/>
      <c r="E193" s="14"/>
      <c r="F193" s="14"/>
      <c r="G193" s="13"/>
      <c r="H193" s="13"/>
      <c r="I193" s="12"/>
      <c r="J193" s="15" t="str">
        <f aca="true">IF(OR(A193="",D193="Выполнено"),"",IF(F193="",IF(AND(G193&lt;&gt;"",G193&lt;&gt;"Разово"),"↻ "&amp;G193,""),IF(F193&lt;TODAY(),"Просрочено на "&amp;(TODAY()-F193)&amp;" дн.",IF(F193=TODAY(),"Сегодня",IF(F193=TODAY()+1,"Завтра","Через "&amp;(F193-TODAY())&amp;" дн.")))))</f>
        <v/>
      </c>
    </row>
    <row r="194" customFormat="false" ht="21.75" hidden="false" customHeight="true" outlineLevel="0" collapsed="false">
      <c r="A194" s="12"/>
      <c r="B194" s="12"/>
      <c r="C194" s="13"/>
      <c r="D194" s="13"/>
      <c r="E194" s="14"/>
      <c r="F194" s="14"/>
      <c r="G194" s="13"/>
      <c r="H194" s="13"/>
      <c r="I194" s="12"/>
      <c r="J194" s="15" t="str">
        <f aca="true">IF(OR(A194="",D194="Выполнено"),"",IF(F194="",IF(AND(G194&lt;&gt;"",G194&lt;&gt;"Разово"),"↻ "&amp;G194,""),IF(F194&lt;TODAY(),"Просрочено на "&amp;(TODAY()-F194)&amp;" дн.",IF(F194=TODAY(),"Сегодня",IF(F194=TODAY()+1,"Завтра","Через "&amp;(F194-TODAY())&amp;" дн.")))))</f>
        <v/>
      </c>
    </row>
    <row r="195" customFormat="false" ht="21.75" hidden="false" customHeight="true" outlineLevel="0" collapsed="false">
      <c r="A195" s="12"/>
      <c r="B195" s="12"/>
      <c r="C195" s="13"/>
      <c r="D195" s="13"/>
      <c r="E195" s="14"/>
      <c r="F195" s="14"/>
      <c r="G195" s="13"/>
      <c r="H195" s="13"/>
      <c r="I195" s="12"/>
      <c r="J195" s="15" t="str">
        <f aca="true">IF(OR(A195="",D195="Выполнено"),"",IF(F195="",IF(AND(G195&lt;&gt;"",G195&lt;&gt;"Разово"),"↻ "&amp;G195,""),IF(F195&lt;TODAY(),"Просрочено на "&amp;(TODAY()-F195)&amp;" дн.",IF(F195=TODAY(),"Сегодня",IF(F195=TODAY()+1,"Завтра","Через "&amp;(F195-TODAY())&amp;" дн.")))))</f>
        <v/>
      </c>
    </row>
    <row r="196" customFormat="false" ht="21.75" hidden="false" customHeight="true" outlineLevel="0" collapsed="false">
      <c r="A196" s="12"/>
      <c r="B196" s="12"/>
      <c r="C196" s="13"/>
      <c r="D196" s="13"/>
      <c r="E196" s="14"/>
      <c r="F196" s="14"/>
      <c r="G196" s="13"/>
      <c r="H196" s="13"/>
      <c r="I196" s="12"/>
      <c r="J196" s="15" t="str">
        <f aca="true">IF(OR(A196="",D196="Выполнено"),"",IF(F196="",IF(AND(G196&lt;&gt;"",G196&lt;&gt;"Разово"),"↻ "&amp;G196,""),IF(F196&lt;TODAY(),"Просрочено на "&amp;(TODAY()-F196)&amp;" дн.",IF(F196=TODAY(),"Сегодня",IF(F196=TODAY()+1,"Завтра","Через "&amp;(F196-TODAY())&amp;" дн.")))))</f>
        <v/>
      </c>
    </row>
    <row r="197" customFormat="false" ht="21.75" hidden="false" customHeight="true" outlineLevel="0" collapsed="false">
      <c r="A197" s="12"/>
      <c r="B197" s="12"/>
      <c r="C197" s="13"/>
      <c r="D197" s="13"/>
      <c r="E197" s="14"/>
      <c r="F197" s="14"/>
      <c r="G197" s="13"/>
      <c r="H197" s="13"/>
      <c r="I197" s="12"/>
      <c r="J197" s="15" t="str">
        <f aca="true">IF(OR(A197="",D197="Выполнено"),"",IF(F197="",IF(AND(G197&lt;&gt;"",G197&lt;&gt;"Разово"),"↻ "&amp;G197,""),IF(F197&lt;TODAY(),"Просрочено на "&amp;(TODAY()-F197)&amp;" дн.",IF(F197=TODAY(),"Сегодня",IF(F197=TODAY()+1,"Завтра","Через "&amp;(F197-TODAY())&amp;" дн.")))))</f>
        <v/>
      </c>
    </row>
    <row r="198" customFormat="false" ht="21.75" hidden="false" customHeight="true" outlineLevel="0" collapsed="false">
      <c r="A198" s="12"/>
      <c r="B198" s="12"/>
      <c r="C198" s="13"/>
      <c r="D198" s="13"/>
      <c r="E198" s="14"/>
      <c r="F198" s="14"/>
      <c r="G198" s="13"/>
      <c r="H198" s="13"/>
      <c r="I198" s="12"/>
      <c r="J198" s="15" t="str">
        <f aca="true">IF(OR(A198="",D198="Выполнено"),"",IF(F198="",IF(AND(G198&lt;&gt;"",G198&lt;&gt;"Разово"),"↻ "&amp;G198,""),IF(F198&lt;TODAY(),"Просрочено на "&amp;(TODAY()-F198)&amp;" дн.",IF(F198=TODAY(),"Сегодня",IF(F198=TODAY()+1,"Завтра","Через "&amp;(F198-TODAY())&amp;" дн.")))))</f>
        <v/>
      </c>
    </row>
    <row r="199" customFormat="false" ht="21.75" hidden="false" customHeight="true" outlineLevel="0" collapsed="false">
      <c r="A199" s="12"/>
      <c r="B199" s="12"/>
      <c r="C199" s="13"/>
      <c r="D199" s="13"/>
      <c r="E199" s="14"/>
      <c r="F199" s="14"/>
      <c r="G199" s="13"/>
      <c r="H199" s="13"/>
      <c r="I199" s="12"/>
      <c r="J199" s="15" t="str">
        <f aca="true">IF(OR(A199="",D199="Выполнено"),"",IF(F199="",IF(AND(G199&lt;&gt;"",G199&lt;&gt;"Разово"),"↻ "&amp;G199,""),IF(F199&lt;TODAY(),"Просрочено на "&amp;(TODAY()-F199)&amp;" дн.",IF(F199=TODAY(),"Сегодня",IF(F199=TODAY()+1,"Завтра","Через "&amp;(F199-TODAY())&amp;" дн.")))))</f>
        <v/>
      </c>
    </row>
    <row r="200" customFormat="false" ht="21.75" hidden="false" customHeight="true" outlineLevel="0" collapsed="false">
      <c r="A200" s="12"/>
      <c r="B200" s="12"/>
      <c r="C200" s="13"/>
      <c r="D200" s="13"/>
      <c r="E200" s="14"/>
      <c r="F200" s="14"/>
      <c r="G200" s="13"/>
      <c r="H200" s="13"/>
      <c r="I200" s="12"/>
      <c r="J200" s="15" t="str">
        <f aca="true">IF(OR(A200="",D200="Выполнено"),"",IF(F200="",IF(AND(G200&lt;&gt;"",G200&lt;&gt;"Разово"),"↻ "&amp;G200,""),IF(F200&lt;TODAY(),"Просрочено на "&amp;(TODAY()-F200)&amp;" дн.",IF(F200=TODAY(),"Сегодня",IF(F200=TODAY()+1,"Завтра","Через "&amp;(F200-TODAY())&amp;" дн.")))))</f>
        <v/>
      </c>
    </row>
    <row r="201" customFormat="false" ht="21.75" hidden="false" customHeight="true" outlineLevel="0" collapsed="false">
      <c r="A201" s="12"/>
      <c r="B201" s="12"/>
      <c r="C201" s="13"/>
      <c r="D201" s="13"/>
      <c r="E201" s="14"/>
      <c r="F201" s="14"/>
      <c r="G201" s="13"/>
      <c r="H201" s="13"/>
      <c r="I201" s="12"/>
      <c r="J201" s="15" t="str">
        <f aca="true">IF(OR(A201="",D201="Выполнено"),"",IF(F201="",IF(AND(G201&lt;&gt;"",G201&lt;&gt;"Разово"),"↻ "&amp;G201,""),IF(F201&lt;TODAY(),"Просрочено на "&amp;(TODAY()-F201)&amp;" дн.",IF(F201=TODAY(),"Сегодня",IF(F201=TODAY()+1,"Завтра","Через "&amp;(F201-TODAY())&amp;" дн.")))))</f>
        <v/>
      </c>
    </row>
    <row r="202" customFormat="false" ht="21.75" hidden="false" customHeight="true" outlineLevel="0" collapsed="false">
      <c r="A202" s="12"/>
      <c r="B202" s="12"/>
      <c r="C202" s="13"/>
      <c r="D202" s="13"/>
      <c r="E202" s="14"/>
      <c r="F202" s="14"/>
      <c r="G202" s="13"/>
      <c r="H202" s="13"/>
      <c r="I202" s="12"/>
      <c r="J202" s="15" t="str">
        <f aca="true">IF(OR(A202="",D202="Выполнено"),"",IF(F202="",IF(AND(G202&lt;&gt;"",G202&lt;&gt;"Разово"),"↻ "&amp;G202,""),IF(F202&lt;TODAY(),"Просрочено на "&amp;(TODAY()-F202)&amp;" дн.",IF(F202=TODAY(),"Сегодня",IF(F202=TODAY()+1,"Завтра","Через "&amp;(F202-TODAY())&amp;" дн.")))))</f>
        <v/>
      </c>
    </row>
    <row r="203" customFormat="false" ht="21.75" hidden="false" customHeight="true" outlineLevel="0" collapsed="false">
      <c r="A203" s="12"/>
      <c r="B203" s="12"/>
      <c r="C203" s="13"/>
      <c r="D203" s="13"/>
      <c r="E203" s="14"/>
      <c r="F203" s="14"/>
      <c r="G203" s="13"/>
      <c r="H203" s="13"/>
      <c r="I203" s="12"/>
      <c r="J203" s="15" t="str">
        <f aca="true">IF(OR(A203="",D203="Выполнено"),"",IF(F203="",IF(AND(G203&lt;&gt;"",G203&lt;&gt;"Разово"),"↻ "&amp;G203,""),IF(F203&lt;TODAY(),"Просрочено на "&amp;(TODAY()-F203)&amp;" дн.",IF(F203=TODAY(),"Сегодня",IF(F203=TODAY()+1,"Завтра","Через "&amp;(F203-TODAY())&amp;" дн.")))))</f>
        <v/>
      </c>
    </row>
    <row r="204" customFormat="false" ht="21.75" hidden="false" customHeight="true" outlineLevel="0" collapsed="false">
      <c r="A204" s="12"/>
      <c r="B204" s="12"/>
      <c r="C204" s="13"/>
      <c r="D204" s="13"/>
      <c r="E204" s="14"/>
      <c r="F204" s="14"/>
      <c r="G204" s="13"/>
      <c r="H204" s="13"/>
      <c r="I204" s="12"/>
      <c r="J204" s="15" t="str">
        <f aca="true">IF(OR(A204="",D204="Выполнено"),"",IF(F204="",IF(AND(G204&lt;&gt;"",G204&lt;&gt;"Разово"),"↻ "&amp;G204,""),IF(F204&lt;TODAY(),"Просрочено на "&amp;(TODAY()-F204)&amp;" дн.",IF(F204=TODAY(),"Сегодня",IF(F204=TODAY()+1,"Завтра","Через "&amp;(F204-TODAY())&amp;" дн.")))))</f>
        <v/>
      </c>
    </row>
    <row r="205" customFormat="false" ht="21.75" hidden="false" customHeight="true" outlineLevel="0" collapsed="false">
      <c r="A205" s="12"/>
      <c r="B205" s="12"/>
      <c r="C205" s="13"/>
      <c r="D205" s="13"/>
      <c r="E205" s="14"/>
      <c r="F205" s="14"/>
      <c r="G205" s="13"/>
      <c r="H205" s="13"/>
      <c r="I205" s="12"/>
      <c r="J205" s="15" t="str">
        <f aca="true">IF(OR(A205="",D205="Выполнено"),"",IF(F205="",IF(AND(G205&lt;&gt;"",G205&lt;&gt;"Разово"),"↻ "&amp;G205,""),IF(F205&lt;TODAY(),"Просрочено на "&amp;(TODAY()-F205)&amp;" дн.",IF(F205=TODAY(),"Сегодня",IF(F205=TODAY()+1,"Завтра","Через "&amp;(F205-TODAY())&amp;" дн.")))))</f>
        <v/>
      </c>
    </row>
    <row r="206" customFormat="false" ht="21.75" hidden="false" customHeight="true" outlineLevel="0" collapsed="false">
      <c r="A206" s="12"/>
      <c r="B206" s="12"/>
      <c r="C206" s="13"/>
      <c r="D206" s="13"/>
      <c r="E206" s="14"/>
      <c r="F206" s="14"/>
      <c r="G206" s="13"/>
      <c r="H206" s="13"/>
      <c r="I206" s="12"/>
      <c r="J206" s="15" t="str">
        <f aca="true">IF(OR(A206="",D206="Выполнено"),"",IF(F206="",IF(AND(G206&lt;&gt;"",G206&lt;&gt;"Разово"),"↻ "&amp;G206,""),IF(F206&lt;TODAY(),"Просрочено на "&amp;(TODAY()-F206)&amp;" дн.",IF(F206=TODAY(),"Сегодня",IF(F206=TODAY()+1,"Завтра","Через "&amp;(F206-TODAY())&amp;" дн.")))))</f>
        <v/>
      </c>
    </row>
    <row r="207" customFormat="false" ht="21.75" hidden="false" customHeight="true" outlineLevel="0" collapsed="false">
      <c r="A207" s="12"/>
      <c r="B207" s="12"/>
      <c r="C207" s="13"/>
      <c r="D207" s="13"/>
      <c r="E207" s="14"/>
      <c r="F207" s="14"/>
      <c r="G207" s="13"/>
      <c r="H207" s="13"/>
      <c r="I207" s="12"/>
      <c r="J207" s="15" t="str">
        <f aca="true">IF(OR(A207="",D207="Выполнено"),"",IF(F207="",IF(AND(G207&lt;&gt;"",G207&lt;&gt;"Разово"),"↻ "&amp;G207,""),IF(F207&lt;TODAY(),"Просрочено на "&amp;(TODAY()-F207)&amp;" дн.",IF(F207=TODAY(),"Сегодня",IF(F207=TODAY()+1,"Завтра","Через "&amp;(F207-TODAY())&amp;" дн.")))))</f>
        <v/>
      </c>
    </row>
    <row r="208" customFormat="false" ht="21.75" hidden="false" customHeight="true" outlineLevel="0" collapsed="false">
      <c r="A208" s="12"/>
      <c r="B208" s="12"/>
      <c r="C208" s="13"/>
      <c r="D208" s="13"/>
      <c r="E208" s="14"/>
      <c r="F208" s="14"/>
      <c r="G208" s="13"/>
      <c r="H208" s="13"/>
      <c r="I208" s="12"/>
      <c r="J208" s="15" t="str">
        <f aca="true">IF(OR(A208="",D208="Выполнено"),"",IF(F208="",IF(AND(G208&lt;&gt;"",G208&lt;&gt;"Разово"),"↻ "&amp;G208,""),IF(F208&lt;TODAY(),"Просрочено на "&amp;(TODAY()-F208)&amp;" дн.",IF(F208=TODAY(),"Сегодня",IF(F208=TODAY()+1,"Завтра","Через "&amp;(F208-TODAY())&amp;" дн.")))))</f>
        <v/>
      </c>
    </row>
    <row r="209" customFormat="false" ht="21.75" hidden="false" customHeight="true" outlineLevel="0" collapsed="false">
      <c r="A209" s="12"/>
      <c r="B209" s="12"/>
      <c r="C209" s="13"/>
      <c r="D209" s="13"/>
      <c r="E209" s="14"/>
      <c r="F209" s="14"/>
      <c r="G209" s="13"/>
      <c r="H209" s="13"/>
      <c r="I209" s="12"/>
      <c r="J209" s="15" t="str">
        <f aca="true">IF(OR(A209="",D209="Выполнено"),"",IF(F209="",IF(AND(G209&lt;&gt;"",G209&lt;&gt;"Разово"),"↻ "&amp;G209,""),IF(F209&lt;TODAY(),"Просрочено на "&amp;(TODAY()-F209)&amp;" дн.",IF(F209=TODAY(),"Сегодня",IF(F209=TODAY()+1,"Завтра","Через "&amp;(F209-TODAY())&amp;" дн.")))))</f>
        <v/>
      </c>
    </row>
    <row r="210" customFormat="false" ht="21.75" hidden="false" customHeight="true" outlineLevel="0" collapsed="false">
      <c r="A210" s="12"/>
      <c r="B210" s="12"/>
      <c r="C210" s="13"/>
      <c r="D210" s="13"/>
      <c r="E210" s="14"/>
      <c r="F210" s="14"/>
      <c r="G210" s="13"/>
      <c r="H210" s="13"/>
      <c r="I210" s="12"/>
      <c r="J210" s="15" t="str">
        <f aca="true">IF(OR(A210="",D210="Выполнено"),"",IF(F210="",IF(AND(G210&lt;&gt;"",G210&lt;&gt;"Разово"),"↻ "&amp;G210,""),IF(F210&lt;TODAY(),"Просрочено на "&amp;(TODAY()-F210)&amp;" дн.",IF(F210=TODAY(),"Сегодня",IF(F210=TODAY()+1,"Завтра","Через "&amp;(F210-TODAY())&amp;" дн.")))))</f>
        <v/>
      </c>
    </row>
    <row r="211" customFormat="false" ht="21.75" hidden="false" customHeight="true" outlineLevel="0" collapsed="false">
      <c r="A211" s="12"/>
      <c r="B211" s="12"/>
      <c r="C211" s="13"/>
      <c r="D211" s="13"/>
      <c r="E211" s="14"/>
      <c r="F211" s="14"/>
      <c r="G211" s="13"/>
      <c r="H211" s="13"/>
      <c r="I211" s="12"/>
      <c r="J211" s="15" t="str">
        <f aca="true">IF(OR(A211="",D211="Выполнено"),"",IF(F211="",IF(AND(G211&lt;&gt;"",G211&lt;&gt;"Разово"),"↻ "&amp;G211,""),IF(F211&lt;TODAY(),"Просрочено на "&amp;(TODAY()-F211)&amp;" дн.",IF(F211=TODAY(),"Сегодня",IF(F211=TODAY()+1,"Завтра","Через "&amp;(F211-TODAY())&amp;" дн.")))))</f>
        <v/>
      </c>
    </row>
    <row r="212" customFormat="false" ht="21.75" hidden="false" customHeight="true" outlineLevel="0" collapsed="false">
      <c r="A212" s="12"/>
      <c r="B212" s="12"/>
      <c r="C212" s="13"/>
      <c r="D212" s="13"/>
      <c r="E212" s="14"/>
      <c r="F212" s="14"/>
      <c r="G212" s="13"/>
      <c r="H212" s="13"/>
      <c r="I212" s="12"/>
      <c r="J212" s="15" t="str">
        <f aca="true">IF(OR(A212="",D212="Выполнено"),"",IF(F212="",IF(AND(G212&lt;&gt;"",G212&lt;&gt;"Разово"),"↻ "&amp;G212,""),IF(F212&lt;TODAY(),"Просрочено на "&amp;(TODAY()-F212)&amp;" дн.",IF(F212=TODAY(),"Сегодня",IF(F212=TODAY()+1,"Завтра","Через "&amp;(F212-TODAY())&amp;" дн.")))))</f>
        <v/>
      </c>
    </row>
    <row r="213" customFormat="false" ht="21.75" hidden="false" customHeight="true" outlineLevel="0" collapsed="false">
      <c r="A213" s="12"/>
      <c r="B213" s="12"/>
      <c r="C213" s="13"/>
      <c r="D213" s="13"/>
      <c r="E213" s="14"/>
      <c r="F213" s="14"/>
      <c r="G213" s="13"/>
      <c r="H213" s="13"/>
      <c r="I213" s="12"/>
      <c r="J213" s="15" t="str">
        <f aca="true">IF(OR(A213="",D213="Выполнено"),"",IF(F213="",IF(AND(G213&lt;&gt;"",G213&lt;&gt;"Разово"),"↻ "&amp;G213,""),IF(F213&lt;TODAY(),"Просрочено на "&amp;(TODAY()-F213)&amp;" дн.",IF(F213=TODAY(),"Сегодня",IF(F213=TODAY()+1,"Завтра","Через "&amp;(F213-TODAY())&amp;" дн.")))))</f>
        <v/>
      </c>
    </row>
    <row r="214" customFormat="false" ht="21.75" hidden="false" customHeight="true" outlineLevel="0" collapsed="false">
      <c r="A214" s="12"/>
      <c r="B214" s="12"/>
      <c r="C214" s="13"/>
      <c r="D214" s="13"/>
      <c r="E214" s="14"/>
      <c r="F214" s="14"/>
      <c r="G214" s="13"/>
      <c r="H214" s="13"/>
      <c r="I214" s="12"/>
      <c r="J214" s="15" t="str">
        <f aca="true">IF(OR(A214="",D214="Выполнено"),"",IF(F214="",IF(AND(G214&lt;&gt;"",G214&lt;&gt;"Разово"),"↻ "&amp;G214,""),IF(F214&lt;TODAY(),"Просрочено на "&amp;(TODAY()-F214)&amp;" дн.",IF(F214=TODAY(),"Сегодня",IF(F214=TODAY()+1,"Завтра","Через "&amp;(F214-TODAY())&amp;" дн.")))))</f>
        <v/>
      </c>
    </row>
    <row r="215" customFormat="false" ht="21.75" hidden="false" customHeight="true" outlineLevel="0" collapsed="false">
      <c r="A215" s="12"/>
      <c r="B215" s="12"/>
      <c r="C215" s="13"/>
      <c r="D215" s="13"/>
      <c r="E215" s="14"/>
      <c r="F215" s="14"/>
      <c r="G215" s="13"/>
      <c r="H215" s="13"/>
      <c r="I215" s="12"/>
      <c r="J215" s="15" t="str">
        <f aca="true">IF(OR(A215="",D215="Выполнено"),"",IF(F215="",IF(AND(G215&lt;&gt;"",G215&lt;&gt;"Разово"),"↻ "&amp;G215,""),IF(F215&lt;TODAY(),"Просрочено на "&amp;(TODAY()-F215)&amp;" дн.",IF(F215=TODAY(),"Сегодня",IF(F215=TODAY()+1,"Завтра","Через "&amp;(F215-TODAY())&amp;" дн.")))))</f>
        <v/>
      </c>
    </row>
    <row r="216" customFormat="false" ht="21.75" hidden="false" customHeight="true" outlineLevel="0" collapsed="false">
      <c r="A216" s="12"/>
      <c r="B216" s="12"/>
      <c r="C216" s="13"/>
      <c r="D216" s="13"/>
      <c r="E216" s="14"/>
      <c r="F216" s="14"/>
      <c r="G216" s="13"/>
      <c r="H216" s="13"/>
      <c r="I216" s="12"/>
      <c r="J216" s="15" t="str">
        <f aca="true">IF(OR(A216="",D216="Выполнено"),"",IF(F216="",IF(AND(G216&lt;&gt;"",G216&lt;&gt;"Разово"),"↻ "&amp;G216,""),IF(F216&lt;TODAY(),"Просрочено на "&amp;(TODAY()-F216)&amp;" дн.",IF(F216=TODAY(),"Сегодня",IF(F216=TODAY()+1,"Завтра","Через "&amp;(F216-TODAY())&amp;" дн.")))))</f>
        <v/>
      </c>
    </row>
    <row r="217" customFormat="false" ht="21.75" hidden="false" customHeight="true" outlineLevel="0" collapsed="false">
      <c r="A217" s="12"/>
      <c r="B217" s="12"/>
      <c r="C217" s="13"/>
      <c r="D217" s="13"/>
      <c r="E217" s="14"/>
      <c r="F217" s="14"/>
      <c r="G217" s="13"/>
      <c r="H217" s="13"/>
      <c r="I217" s="12"/>
      <c r="J217" s="15" t="str">
        <f aca="true">IF(OR(A217="",D217="Выполнено"),"",IF(F217="",IF(AND(G217&lt;&gt;"",G217&lt;&gt;"Разово"),"↻ "&amp;G217,""),IF(F217&lt;TODAY(),"Просрочено на "&amp;(TODAY()-F217)&amp;" дн.",IF(F217=TODAY(),"Сегодня",IF(F217=TODAY()+1,"Завтра","Через "&amp;(F217-TODAY())&amp;" дн.")))))</f>
        <v/>
      </c>
    </row>
    <row r="218" customFormat="false" ht="21.75" hidden="false" customHeight="true" outlineLevel="0" collapsed="false">
      <c r="A218" s="12"/>
      <c r="B218" s="12"/>
      <c r="C218" s="13"/>
      <c r="D218" s="13"/>
      <c r="E218" s="14"/>
      <c r="F218" s="14"/>
      <c r="G218" s="13"/>
      <c r="H218" s="13"/>
      <c r="I218" s="12"/>
      <c r="J218" s="15" t="str">
        <f aca="true">IF(OR(A218="",D218="Выполнено"),"",IF(F218="",IF(AND(G218&lt;&gt;"",G218&lt;&gt;"Разово"),"↻ "&amp;G218,""),IF(F218&lt;TODAY(),"Просрочено на "&amp;(TODAY()-F218)&amp;" дн.",IF(F218=TODAY(),"Сегодня",IF(F218=TODAY()+1,"Завтра","Через "&amp;(F218-TODAY())&amp;" дн.")))))</f>
        <v/>
      </c>
    </row>
    <row r="219" customFormat="false" ht="21.75" hidden="false" customHeight="true" outlineLevel="0" collapsed="false">
      <c r="A219" s="12"/>
      <c r="B219" s="12"/>
      <c r="C219" s="13"/>
      <c r="D219" s="13"/>
      <c r="E219" s="14"/>
      <c r="F219" s="14"/>
      <c r="G219" s="13"/>
      <c r="H219" s="13"/>
      <c r="I219" s="12"/>
      <c r="J219" s="15" t="str">
        <f aca="true">IF(OR(A219="",D219="Выполнено"),"",IF(F219="",IF(AND(G219&lt;&gt;"",G219&lt;&gt;"Разово"),"↻ "&amp;G219,""),IF(F219&lt;TODAY(),"Просрочено на "&amp;(TODAY()-F219)&amp;" дн.",IF(F219=TODAY(),"Сегодня",IF(F219=TODAY()+1,"Завтра","Через "&amp;(F219-TODAY())&amp;" дн.")))))</f>
        <v/>
      </c>
    </row>
    <row r="220" customFormat="false" ht="21.75" hidden="false" customHeight="true" outlineLevel="0" collapsed="false">
      <c r="A220" s="12"/>
      <c r="B220" s="12"/>
      <c r="C220" s="13"/>
      <c r="D220" s="13"/>
      <c r="E220" s="14"/>
      <c r="F220" s="14"/>
      <c r="G220" s="13"/>
      <c r="H220" s="13"/>
      <c r="I220" s="12"/>
      <c r="J220" s="15" t="str">
        <f aca="true">IF(OR(A220="",D220="Выполнено"),"",IF(F220="",IF(AND(G220&lt;&gt;"",G220&lt;&gt;"Разово"),"↻ "&amp;G220,""),IF(F220&lt;TODAY(),"Просрочено на "&amp;(TODAY()-F220)&amp;" дн.",IF(F220=TODAY(),"Сегодня",IF(F220=TODAY()+1,"Завтра","Через "&amp;(F220-TODAY())&amp;" дн.")))))</f>
        <v/>
      </c>
    </row>
    <row r="221" customFormat="false" ht="21.75" hidden="false" customHeight="true" outlineLevel="0" collapsed="false">
      <c r="A221" s="12"/>
      <c r="B221" s="12"/>
      <c r="C221" s="13"/>
      <c r="D221" s="13"/>
      <c r="E221" s="14"/>
      <c r="F221" s="14"/>
      <c r="G221" s="13"/>
      <c r="H221" s="13"/>
      <c r="I221" s="12"/>
      <c r="J221" s="15" t="str">
        <f aca="true">IF(OR(A221="",D221="Выполнено"),"",IF(F221="",IF(AND(G221&lt;&gt;"",G221&lt;&gt;"Разово"),"↻ "&amp;G221,""),IF(F221&lt;TODAY(),"Просрочено на "&amp;(TODAY()-F221)&amp;" дн.",IF(F221=TODAY(),"Сегодня",IF(F221=TODAY()+1,"Завтра","Через "&amp;(F221-TODAY())&amp;" дн.")))))</f>
        <v/>
      </c>
    </row>
    <row r="222" customFormat="false" ht="21.75" hidden="false" customHeight="true" outlineLevel="0" collapsed="false">
      <c r="A222" s="12"/>
      <c r="B222" s="12"/>
      <c r="C222" s="13"/>
      <c r="D222" s="13"/>
      <c r="E222" s="14"/>
      <c r="F222" s="14"/>
      <c r="G222" s="13"/>
      <c r="H222" s="13"/>
      <c r="I222" s="12"/>
      <c r="J222" s="15" t="str">
        <f aca="true">IF(OR(A222="",D222="Выполнено"),"",IF(F222="",IF(AND(G222&lt;&gt;"",G222&lt;&gt;"Разово"),"↻ "&amp;G222,""),IF(F222&lt;TODAY(),"Просрочено на "&amp;(TODAY()-F222)&amp;" дн.",IF(F222=TODAY(),"Сегодня",IF(F222=TODAY()+1,"Завтра","Через "&amp;(F222-TODAY())&amp;" дн.")))))</f>
        <v/>
      </c>
    </row>
    <row r="223" customFormat="false" ht="21.75" hidden="false" customHeight="true" outlineLevel="0" collapsed="false">
      <c r="A223" s="12"/>
      <c r="B223" s="12"/>
      <c r="C223" s="13"/>
      <c r="D223" s="13"/>
      <c r="E223" s="14"/>
      <c r="F223" s="14"/>
      <c r="G223" s="13"/>
      <c r="H223" s="13"/>
      <c r="I223" s="12"/>
      <c r="J223" s="15" t="str">
        <f aca="true">IF(OR(A223="",D223="Выполнено"),"",IF(F223="",IF(AND(G223&lt;&gt;"",G223&lt;&gt;"Разово"),"↻ "&amp;G223,""),IF(F223&lt;TODAY(),"Просрочено на "&amp;(TODAY()-F223)&amp;" дн.",IF(F223=TODAY(),"Сегодня",IF(F223=TODAY()+1,"Завтра","Через "&amp;(F223-TODAY())&amp;" дн.")))))</f>
        <v/>
      </c>
    </row>
    <row r="224" customFormat="false" ht="21.75" hidden="false" customHeight="true" outlineLevel="0" collapsed="false">
      <c r="A224" s="12"/>
      <c r="B224" s="12"/>
      <c r="C224" s="13"/>
      <c r="D224" s="13"/>
      <c r="E224" s="14"/>
      <c r="F224" s="14"/>
      <c r="G224" s="13"/>
      <c r="H224" s="13"/>
      <c r="I224" s="12"/>
      <c r="J224" s="15" t="str">
        <f aca="true">IF(OR(A224="",D224="Выполнено"),"",IF(F224="",IF(AND(G224&lt;&gt;"",G224&lt;&gt;"Разово"),"↻ "&amp;G224,""),IF(F224&lt;TODAY(),"Просрочено на "&amp;(TODAY()-F224)&amp;" дн.",IF(F224=TODAY(),"Сегодня",IF(F224=TODAY()+1,"Завтра","Через "&amp;(F224-TODAY())&amp;" дн.")))))</f>
        <v/>
      </c>
    </row>
    <row r="225" customFormat="false" ht="21.75" hidden="false" customHeight="true" outlineLevel="0" collapsed="false">
      <c r="A225" s="12"/>
      <c r="B225" s="12"/>
      <c r="C225" s="13"/>
      <c r="D225" s="13"/>
      <c r="E225" s="14"/>
      <c r="F225" s="14"/>
      <c r="G225" s="13"/>
      <c r="H225" s="13"/>
      <c r="I225" s="12"/>
      <c r="J225" s="15" t="str">
        <f aca="true">IF(OR(A225="",D225="Выполнено"),"",IF(F225="",IF(AND(G225&lt;&gt;"",G225&lt;&gt;"Разово"),"↻ "&amp;G225,""),IF(F225&lt;TODAY(),"Просрочено на "&amp;(TODAY()-F225)&amp;" дн.",IF(F225=TODAY(),"Сегодня",IF(F225=TODAY()+1,"Завтра","Через "&amp;(F225-TODAY())&amp;" дн.")))))</f>
        <v/>
      </c>
    </row>
    <row r="226" customFormat="false" ht="21.75" hidden="false" customHeight="true" outlineLevel="0" collapsed="false">
      <c r="A226" s="12"/>
      <c r="B226" s="12"/>
      <c r="C226" s="13"/>
      <c r="D226" s="13"/>
      <c r="E226" s="14"/>
      <c r="F226" s="14"/>
      <c r="G226" s="13"/>
      <c r="H226" s="13"/>
      <c r="I226" s="12"/>
      <c r="J226" s="15" t="str">
        <f aca="true">IF(OR(A226="",D226="Выполнено"),"",IF(F226="",IF(AND(G226&lt;&gt;"",G226&lt;&gt;"Разово"),"↻ "&amp;G226,""),IF(F226&lt;TODAY(),"Просрочено на "&amp;(TODAY()-F226)&amp;" дн.",IF(F226=TODAY(),"Сегодня",IF(F226=TODAY()+1,"Завтра","Через "&amp;(F226-TODAY())&amp;" дн.")))))</f>
        <v/>
      </c>
    </row>
    <row r="227" customFormat="false" ht="21.75" hidden="false" customHeight="true" outlineLevel="0" collapsed="false">
      <c r="A227" s="12"/>
      <c r="B227" s="12"/>
      <c r="C227" s="13"/>
      <c r="D227" s="13"/>
      <c r="E227" s="14"/>
      <c r="F227" s="14"/>
      <c r="G227" s="13"/>
      <c r="H227" s="13"/>
      <c r="I227" s="12"/>
      <c r="J227" s="15" t="str">
        <f aca="true">IF(OR(A227="",D227="Выполнено"),"",IF(F227="",IF(AND(G227&lt;&gt;"",G227&lt;&gt;"Разово"),"↻ "&amp;G227,""),IF(F227&lt;TODAY(),"Просрочено на "&amp;(TODAY()-F227)&amp;" дн.",IF(F227=TODAY(),"Сегодня",IF(F227=TODAY()+1,"Завтра","Через "&amp;(F227-TODAY())&amp;" дн.")))))</f>
        <v/>
      </c>
    </row>
    <row r="228" customFormat="false" ht="21.75" hidden="false" customHeight="true" outlineLevel="0" collapsed="false">
      <c r="A228" s="12"/>
      <c r="B228" s="12"/>
      <c r="C228" s="13"/>
      <c r="D228" s="13"/>
      <c r="E228" s="14"/>
      <c r="F228" s="14"/>
      <c r="G228" s="13"/>
      <c r="H228" s="13"/>
      <c r="I228" s="12"/>
      <c r="J228" s="15" t="str">
        <f aca="true">IF(OR(A228="",D228="Выполнено"),"",IF(F228="",IF(AND(G228&lt;&gt;"",G228&lt;&gt;"Разово"),"↻ "&amp;G228,""),IF(F228&lt;TODAY(),"Просрочено на "&amp;(TODAY()-F228)&amp;" дн.",IF(F228=TODAY(),"Сегодня",IF(F228=TODAY()+1,"Завтра","Через "&amp;(F228-TODAY())&amp;" дн.")))))</f>
        <v/>
      </c>
    </row>
    <row r="229" customFormat="false" ht="21.75" hidden="false" customHeight="true" outlineLevel="0" collapsed="false">
      <c r="A229" s="12"/>
      <c r="B229" s="12"/>
      <c r="C229" s="13"/>
      <c r="D229" s="13"/>
      <c r="E229" s="14"/>
      <c r="F229" s="14"/>
      <c r="G229" s="13"/>
      <c r="H229" s="13"/>
      <c r="I229" s="12"/>
      <c r="J229" s="15" t="str">
        <f aca="true">IF(OR(A229="",D229="Выполнено"),"",IF(F229="",IF(AND(G229&lt;&gt;"",G229&lt;&gt;"Разово"),"↻ "&amp;G229,""),IF(F229&lt;TODAY(),"Просрочено на "&amp;(TODAY()-F229)&amp;" дн.",IF(F229=TODAY(),"Сегодня",IF(F229=TODAY()+1,"Завтра","Через "&amp;(F229-TODAY())&amp;" дн.")))))</f>
        <v/>
      </c>
    </row>
    <row r="230" customFormat="false" ht="21.75" hidden="false" customHeight="true" outlineLevel="0" collapsed="false">
      <c r="A230" s="12"/>
      <c r="B230" s="12"/>
      <c r="C230" s="13"/>
      <c r="D230" s="13"/>
      <c r="E230" s="14"/>
      <c r="F230" s="14"/>
      <c r="G230" s="13"/>
      <c r="H230" s="13"/>
      <c r="I230" s="12"/>
      <c r="J230" s="15" t="str">
        <f aca="true">IF(OR(A230="",D230="Выполнено"),"",IF(F230="",IF(AND(G230&lt;&gt;"",G230&lt;&gt;"Разово"),"↻ "&amp;G230,""),IF(F230&lt;TODAY(),"Просрочено на "&amp;(TODAY()-F230)&amp;" дн.",IF(F230=TODAY(),"Сегодня",IF(F230=TODAY()+1,"Завтра","Через "&amp;(F230-TODAY())&amp;" дн.")))))</f>
        <v/>
      </c>
    </row>
    <row r="231" customFormat="false" ht="21.75" hidden="false" customHeight="true" outlineLevel="0" collapsed="false">
      <c r="A231" s="12"/>
      <c r="B231" s="12"/>
      <c r="C231" s="13"/>
      <c r="D231" s="13"/>
      <c r="E231" s="14"/>
      <c r="F231" s="14"/>
      <c r="G231" s="13"/>
      <c r="H231" s="13"/>
      <c r="I231" s="12"/>
      <c r="J231" s="15" t="str">
        <f aca="true">IF(OR(A231="",D231="Выполнено"),"",IF(F231="",IF(AND(G231&lt;&gt;"",G231&lt;&gt;"Разово"),"↻ "&amp;G231,""),IF(F231&lt;TODAY(),"Просрочено на "&amp;(TODAY()-F231)&amp;" дн.",IF(F231=TODAY(),"Сегодня",IF(F231=TODAY()+1,"Завтра","Через "&amp;(F231-TODAY())&amp;" дн.")))))</f>
        <v/>
      </c>
    </row>
    <row r="232" customFormat="false" ht="21.75" hidden="false" customHeight="true" outlineLevel="0" collapsed="false">
      <c r="A232" s="12"/>
      <c r="B232" s="12"/>
      <c r="C232" s="13"/>
      <c r="D232" s="13"/>
      <c r="E232" s="14"/>
      <c r="F232" s="14"/>
      <c r="G232" s="13"/>
      <c r="H232" s="13"/>
      <c r="I232" s="12"/>
      <c r="J232" s="15" t="str">
        <f aca="true">IF(OR(A232="",D232="Выполнено"),"",IF(F232="",IF(AND(G232&lt;&gt;"",G232&lt;&gt;"Разово"),"↻ "&amp;G232,""),IF(F232&lt;TODAY(),"Просрочено на "&amp;(TODAY()-F232)&amp;" дн.",IF(F232=TODAY(),"Сегодня",IF(F232=TODAY()+1,"Завтра","Через "&amp;(F232-TODAY())&amp;" дн.")))))</f>
        <v/>
      </c>
    </row>
    <row r="233" customFormat="false" ht="21.75" hidden="false" customHeight="true" outlineLevel="0" collapsed="false">
      <c r="A233" s="12"/>
      <c r="B233" s="12"/>
      <c r="C233" s="13"/>
      <c r="D233" s="13"/>
      <c r="E233" s="14"/>
      <c r="F233" s="14"/>
      <c r="G233" s="13"/>
      <c r="H233" s="13"/>
      <c r="I233" s="12"/>
      <c r="J233" s="15" t="str">
        <f aca="true">IF(OR(A233="",D233="Выполнено"),"",IF(F233="",IF(AND(G233&lt;&gt;"",G233&lt;&gt;"Разово"),"↻ "&amp;G233,""),IF(F233&lt;TODAY(),"Просрочено на "&amp;(TODAY()-F233)&amp;" дн.",IF(F233=TODAY(),"Сегодня",IF(F233=TODAY()+1,"Завтра","Через "&amp;(F233-TODAY())&amp;" дн.")))))</f>
        <v/>
      </c>
    </row>
    <row r="234" customFormat="false" ht="21.75" hidden="false" customHeight="true" outlineLevel="0" collapsed="false">
      <c r="A234" s="12"/>
      <c r="B234" s="12"/>
      <c r="C234" s="13"/>
      <c r="D234" s="13"/>
      <c r="E234" s="14"/>
      <c r="F234" s="14"/>
      <c r="G234" s="13"/>
      <c r="H234" s="13"/>
      <c r="I234" s="12"/>
      <c r="J234" s="15" t="str">
        <f aca="true">IF(OR(A234="",D234="Выполнено"),"",IF(F234="",IF(AND(G234&lt;&gt;"",G234&lt;&gt;"Разово"),"↻ "&amp;G234,""),IF(F234&lt;TODAY(),"Просрочено на "&amp;(TODAY()-F234)&amp;" дн.",IF(F234=TODAY(),"Сегодня",IF(F234=TODAY()+1,"Завтра","Через "&amp;(F234-TODAY())&amp;" дн.")))))</f>
        <v/>
      </c>
    </row>
    <row r="235" customFormat="false" ht="21.75" hidden="false" customHeight="true" outlineLevel="0" collapsed="false">
      <c r="A235" s="12"/>
      <c r="B235" s="12"/>
      <c r="C235" s="13"/>
      <c r="D235" s="13"/>
      <c r="E235" s="14"/>
      <c r="F235" s="14"/>
      <c r="G235" s="13"/>
      <c r="H235" s="13"/>
      <c r="I235" s="12"/>
      <c r="J235" s="15" t="str">
        <f aca="true">IF(OR(A235="",D235="Выполнено"),"",IF(F235="",IF(AND(G235&lt;&gt;"",G235&lt;&gt;"Разово"),"↻ "&amp;G235,""),IF(F235&lt;TODAY(),"Просрочено на "&amp;(TODAY()-F235)&amp;" дн.",IF(F235=TODAY(),"Сегодня",IF(F235=TODAY()+1,"Завтра","Через "&amp;(F235-TODAY())&amp;" дн.")))))</f>
        <v/>
      </c>
    </row>
    <row r="236" customFormat="false" ht="21.75" hidden="false" customHeight="true" outlineLevel="0" collapsed="false">
      <c r="A236" s="12"/>
      <c r="B236" s="12"/>
      <c r="C236" s="13"/>
      <c r="D236" s="13"/>
      <c r="E236" s="14"/>
      <c r="F236" s="14"/>
      <c r="G236" s="13"/>
      <c r="H236" s="13"/>
      <c r="I236" s="12"/>
      <c r="J236" s="15" t="str">
        <f aca="true">IF(OR(A236="",D236="Выполнено"),"",IF(F236="",IF(AND(G236&lt;&gt;"",G236&lt;&gt;"Разово"),"↻ "&amp;G236,""),IF(F236&lt;TODAY(),"Просрочено на "&amp;(TODAY()-F236)&amp;" дн.",IF(F236=TODAY(),"Сегодня",IF(F236=TODAY()+1,"Завтра","Через "&amp;(F236-TODAY())&amp;" дн.")))))</f>
        <v/>
      </c>
    </row>
    <row r="237" customFormat="false" ht="21.75" hidden="false" customHeight="true" outlineLevel="0" collapsed="false">
      <c r="A237" s="12"/>
      <c r="B237" s="12"/>
      <c r="C237" s="13"/>
      <c r="D237" s="13"/>
      <c r="E237" s="14"/>
      <c r="F237" s="14"/>
      <c r="G237" s="13"/>
      <c r="H237" s="13"/>
      <c r="I237" s="12"/>
      <c r="J237" s="15" t="str">
        <f aca="true">IF(OR(A237="",D237="Выполнено"),"",IF(F237="",IF(AND(G237&lt;&gt;"",G237&lt;&gt;"Разово"),"↻ "&amp;G237,""),IF(F237&lt;TODAY(),"Просрочено на "&amp;(TODAY()-F237)&amp;" дн.",IF(F237=TODAY(),"Сегодня",IF(F237=TODAY()+1,"Завтра","Через "&amp;(F237-TODAY())&amp;" дн.")))))</f>
        <v/>
      </c>
    </row>
    <row r="238" customFormat="false" ht="21.75" hidden="false" customHeight="true" outlineLevel="0" collapsed="false">
      <c r="A238" s="12"/>
      <c r="B238" s="12"/>
      <c r="C238" s="13"/>
      <c r="D238" s="13"/>
      <c r="E238" s="14"/>
      <c r="F238" s="14"/>
      <c r="G238" s="13"/>
      <c r="H238" s="13"/>
      <c r="I238" s="12"/>
      <c r="J238" s="15" t="str">
        <f aca="true">IF(OR(A238="",D238="Выполнено"),"",IF(F238="",IF(AND(G238&lt;&gt;"",G238&lt;&gt;"Разово"),"↻ "&amp;G238,""),IF(F238&lt;TODAY(),"Просрочено на "&amp;(TODAY()-F238)&amp;" дн.",IF(F238=TODAY(),"Сегодня",IF(F238=TODAY()+1,"Завтра","Через "&amp;(F238-TODAY())&amp;" дн.")))))</f>
        <v/>
      </c>
    </row>
    <row r="239" customFormat="false" ht="21.75" hidden="false" customHeight="true" outlineLevel="0" collapsed="false">
      <c r="A239" s="12"/>
      <c r="B239" s="12"/>
      <c r="C239" s="13"/>
      <c r="D239" s="13"/>
      <c r="E239" s="14"/>
      <c r="F239" s="14"/>
      <c r="G239" s="13"/>
      <c r="H239" s="13"/>
      <c r="I239" s="12"/>
      <c r="J239" s="15" t="str">
        <f aca="true">IF(OR(A239="",D239="Выполнено"),"",IF(F239="",IF(AND(G239&lt;&gt;"",G239&lt;&gt;"Разово"),"↻ "&amp;G239,""),IF(F239&lt;TODAY(),"Просрочено на "&amp;(TODAY()-F239)&amp;" дн.",IF(F239=TODAY(),"Сегодня",IF(F239=TODAY()+1,"Завтра","Через "&amp;(F239-TODAY())&amp;" дн.")))))</f>
        <v/>
      </c>
    </row>
    <row r="240" customFormat="false" ht="21.75" hidden="false" customHeight="true" outlineLevel="0" collapsed="false">
      <c r="A240" s="12"/>
      <c r="B240" s="12"/>
      <c r="C240" s="13"/>
      <c r="D240" s="13"/>
      <c r="E240" s="14"/>
      <c r="F240" s="14"/>
      <c r="G240" s="13"/>
      <c r="H240" s="13"/>
      <c r="I240" s="12"/>
      <c r="J240" s="15" t="str">
        <f aca="true">IF(OR(A240="",D240="Выполнено"),"",IF(F240="",IF(AND(G240&lt;&gt;"",G240&lt;&gt;"Разово"),"↻ "&amp;G240,""),IF(F240&lt;TODAY(),"Просрочено на "&amp;(TODAY()-F240)&amp;" дн.",IF(F240=TODAY(),"Сегодня",IF(F240=TODAY()+1,"Завтра","Через "&amp;(F240-TODAY())&amp;" дн.")))))</f>
        <v/>
      </c>
    </row>
    <row r="241" customFormat="false" ht="21.75" hidden="false" customHeight="true" outlineLevel="0" collapsed="false">
      <c r="A241" s="12"/>
      <c r="B241" s="12"/>
      <c r="C241" s="13"/>
      <c r="D241" s="13"/>
      <c r="E241" s="14"/>
      <c r="F241" s="14"/>
      <c r="G241" s="13"/>
      <c r="H241" s="13"/>
      <c r="I241" s="12"/>
      <c r="J241" s="15" t="str">
        <f aca="true">IF(OR(A241="",D241="Выполнено"),"",IF(F241="",IF(AND(G241&lt;&gt;"",G241&lt;&gt;"Разово"),"↻ "&amp;G241,""),IF(F241&lt;TODAY(),"Просрочено на "&amp;(TODAY()-F241)&amp;" дн.",IF(F241=TODAY(),"Сегодня",IF(F241=TODAY()+1,"Завтра","Через "&amp;(F241-TODAY())&amp;" дн.")))))</f>
        <v/>
      </c>
    </row>
    <row r="242" customFormat="false" ht="21.75" hidden="false" customHeight="true" outlineLevel="0" collapsed="false">
      <c r="A242" s="12"/>
      <c r="B242" s="12"/>
      <c r="C242" s="13"/>
      <c r="D242" s="13"/>
      <c r="E242" s="14"/>
      <c r="F242" s="14"/>
      <c r="G242" s="13"/>
      <c r="H242" s="13"/>
      <c r="I242" s="12"/>
      <c r="J242" s="15" t="str">
        <f aca="true">IF(OR(A242="",D242="Выполнено"),"",IF(F242="",IF(AND(G242&lt;&gt;"",G242&lt;&gt;"Разово"),"↻ "&amp;G242,""),IF(F242&lt;TODAY(),"Просрочено на "&amp;(TODAY()-F242)&amp;" дн.",IF(F242=TODAY(),"Сегодня",IF(F242=TODAY()+1,"Завтра","Через "&amp;(F242-TODAY())&amp;" дн.")))))</f>
        <v/>
      </c>
    </row>
    <row r="243" customFormat="false" ht="21.75" hidden="false" customHeight="true" outlineLevel="0" collapsed="false">
      <c r="A243" s="12"/>
      <c r="B243" s="12"/>
      <c r="C243" s="13"/>
      <c r="D243" s="13"/>
      <c r="E243" s="14"/>
      <c r="F243" s="14"/>
      <c r="G243" s="13"/>
      <c r="H243" s="13"/>
      <c r="I243" s="12"/>
      <c r="J243" s="15" t="str">
        <f aca="true">IF(OR(A243="",D243="Выполнено"),"",IF(F243="",IF(AND(G243&lt;&gt;"",G243&lt;&gt;"Разово"),"↻ "&amp;G243,""),IF(F243&lt;TODAY(),"Просрочено на "&amp;(TODAY()-F243)&amp;" дн.",IF(F243=TODAY(),"Сегодня",IF(F243=TODAY()+1,"Завтра","Через "&amp;(F243-TODAY())&amp;" дн.")))))</f>
        <v/>
      </c>
    </row>
    <row r="244" customFormat="false" ht="21.75" hidden="false" customHeight="true" outlineLevel="0" collapsed="false">
      <c r="A244" s="12"/>
      <c r="B244" s="12"/>
      <c r="C244" s="13"/>
      <c r="D244" s="13"/>
      <c r="E244" s="14"/>
      <c r="F244" s="14"/>
      <c r="G244" s="13"/>
      <c r="H244" s="13"/>
      <c r="I244" s="12"/>
      <c r="J244" s="15" t="str">
        <f aca="true">IF(OR(A244="",D244="Выполнено"),"",IF(F244="",IF(AND(G244&lt;&gt;"",G244&lt;&gt;"Разово"),"↻ "&amp;G244,""),IF(F244&lt;TODAY(),"Просрочено на "&amp;(TODAY()-F244)&amp;" дн.",IF(F244=TODAY(),"Сегодня",IF(F244=TODAY()+1,"Завтра","Через "&amp;(F244-TODAY())&amp;" дн.")))))</f>
        <v/>
      </c>
    </row>
    <row r="245" customFormat="false" ht="21.75" hidden="false" customHeight="true" outlineLevel="0" collapsed="false">
      <c r="A245" s="12"/>
      <c r="B245" s="12"/>
      <c r="C245" s="13"/>
      <c r="D245" s="13"/>
      <c r="E245" s="14"/>
      <c r="F245" s="14"/>
      <c r="G245" s="13"/>
      <c r="H245" s="13"/>
      <c r="I245" s="12"/>
      <c r="J245" s="15" t="str">
        <f aca="true">IF(OR(A245="",D245="Выполнено"),"",IF(F245="",IF(AND(G245&lt;&gt;"",G245&lt;&gt;"Разово"),"↻ "&amp;G245,""),IF(F245&lt;TODAY(),"Просрочено на "&amp;(TODAY()-F245)&amp;" дн.",IF(F245=TODAY(),"Сегодня",IF(F245=TODAY()+1,"Завтра","Через "&amp;(F245-TODAY())&amp;" дн.")))))</f>
        <v/>
      </c>
    </row>
    <row r="246" customFormat="false" ht="21.75" hidden="false" customHeight="true" outlineLevel="0" collapsed="false">
      <c r="A246" s="12"/>
      <c r="B246" s="12"/>
      <c r="C246" s="13"/>
      <c r="D246" s="13"/>
      <c r="E246" s="14"/>
      <c r="F246" s="14"/>
      <c r="G246" s="13"/>
      <c r="H246" s="13"/>
      <c r="I246" s="12"/>
      <c r="J246" s="15" t="str">
        <f aca="true">IF(OR(A246="",D246="Выполнено"),"",IF(F246="",IF(AND(G246&lt;&gt;"",G246&lt;&gt;"Разово"),"↻ "&amp;G246,""),IF(F246&lt;TODAY(),"Просрочено на "&amp;(TODAY()-F246)&amp;" дн.",IF(F246=TODAY(),"Сегодня",IF(F246=TODAY()+1,"Завтра","Через "&amp;(F246-TODAY())&amp;" дн.")))))</f>
        <v/>
      </c>
    </row>
    <row r="247" customFormat="false" ht="21.75" hidden="false" customHeight="true" outlineLevel="0" collapsed="false">
      <c r="A247" s="12"/>
      <c r="B247" s="12"/>
      <c r="C247" s="13"/>
      <c r="D247" s="13"/>
      <c r="E247" s="14"/>
      <c r="F247" s="14"/>
      <c r="G247" s="13"/>
      <c r="H247" s="13"/>
      <c r="I247" s="12"/>
      <c r="J247" s="15" t="str">
        <f aca="true">IF(OR(A247="",D247="Выполнено"),"",IF(F247="",IF(AND(G247&lt;&gt;"",G247&lt;&gt;"Разово"),"↻ "&amp;G247,""),IF(F247&lt;TODAY(),"Просрочено на "&amp;(TODAY()-F247)&amp;" дн.",IF(F247=TODAY(),"Сегодня",IF(F247=TODAY()+1,"Завтра","Через "&amp;(F247-TODAY())&amp;" дн.")))))</f>
        <v/>
      </c>
    </row>
    <row r="248" customFormat="false" ht="21.75" hidden="false" customHeight="true" outlineLevel="0" collapsed="false">
      <c r="A248" s="12"/>
      <c r="B248" s="12"/>
      <c r="C248" s="13"/>
      <c r="D248" s="13"/>
      <c r="E248" s="14"/>
      <c r="F248" s="14"/>
      <c r="G248" s="13"/>
      <c r="H248" s="13"/>
      <c r="I248" s="12"/>
      <c r="J248" s="15" t="str">
        <f aca="true">IF(OR(A248="",D248="Выполнено"),"",IF(F248="",IF(AND(G248&lt;&gt;"",G248&lt;&gt;"Разово"),"↻ "&amp;G248,""),IF(F248&lt;TODAY(),"Просрочено на "&amp;(TODAY()-F248)&amp;" дн.",IF(F248=TODAY(),"Сегодня",IF(F248=TODAY()+1,"Завтра","Через "&amp;(F248-TODAY())&amp;" дн.")))))</f>
        <v/>
      </c>
    </row>
    <row r="249" customFormat="false" ht="21.75" hidden="false" customHeight="true" outlineLevel="0" collapsed="false">
      <c r="A249" s="12"/>
      <c r="B249" s="12"/>
      <c r="C249" s="13"/>
      <c r="D249" s="13"/>
      <c r="E249" s="14"/>
      <c r="F249" s="14"/>
      <c r="G249" s="13"/>
      <c r="H249" s="13"/>
      <c r="I249" s="12"/>
      <c r="J249" s="15" t="str">
        <f aca="true">IF(OR(A249="",D249="Выполнено"),"",IF(F249="",IF(AND(G249&lt;&gt;"",G249&lt;&gt;"Разово"),"↻ "&amp;G249,""),IF(F249&lt;TODAY(),"Просрочено на "&amp;(TODAY()-F249)&amp;" дн.",IF(F249=TODAY(),"Сегодня",IF(F249=TODAY()+1,"Завтра","Через "&amp;(F249-TODAY())&amp;" дн.")))))</f>
        <v/>
      </c>
    </row>
    <row r="250" customFormat="false" ht="21.75" hidden="false" customHeight="true" outlineLevel="0" collapsed="false">
      <c r="A250" s="12"/>
      <c r="B250" s="12"/>
      <c r="C250" s="13"/>
      <c r="D250" s="13"/>
      <c r="E250" s="14"/>
      <c r="F250" s="14"/>
      <c r="G250" s="13"/>
      <c r="H250" s="13"/>
      <c r="I250" s="12"/>
      <c r="J250" s="15" t="str">
        <f aca="true">IF(OR(A250="",D250="Выполнено"),"",IF(F250="",IF(AND(G250&lt;&gt;"",G250&lt;&gt;"Разово"),"↻ "&amp;G250,""),IF(F250&lt;TODAY(),"Просрочено на "&amp;(TODAY()-F250)&amp;" дн.",IF(F250=TODAY(),"Сегодня",IF(F250=TODAY()+1,"Завтра","Через "&amp;(F250-TODAY())&amp;" дн.")))))</f>
        <v/>
      </c>
    </row>
    <row r="251" customFormat="false" ht="21.75" hidden="false" customHeight="true" outlineLevel="0" collapsed="false">
      <c r="A251" s="12"/>
      <c r="B251" s="12"/>
      <c r="C251" s="13"/>
      <c r="D251" s="13"/>
      <c r="E251" s="14"/>
      <c r="F251" s="14"/>
      <c r="G251" s="13"/>
      <c r="H251" s="13"/>
      <c r="I251" s="12"/>
      <c r="J251" s="15" t="str">
        <f aca="true">IF(OR(A251="",D251="Выполнено"),"",IF(F251="",IF(AND(G251&lt;&gt;"",G251&lt;&gt;"Разово"),"↻ "&amp;G251,""),IF(F251&lt;TODAY(),"Просрочено на "&amp;(TODAY()-F251)&amp;" дн.",IF(F251=TODAY(),"Сегодня",IF(F251=TODAY()+1,"Завтра","Через "&amp;(F251-TODAY())&amp;" дн.")))))</f>
        <v/>
      </c>
    </row>
    <row r="252" customFormat="false" ht="21.75" hidden="false" customHeight="true" outlineLevel="0" collapsed="false">
      <c r="A252" s="12"/>
      <c r="B252" s="12"/>
      <c r="C252" s="13"/>
      <c r="D252" s="13"/>
      <c r="E252" s="14"/>
      <c r="F252" s="14"/>
      <c r="G252" s="13"/>
      <c r="H252" s="13"/>
      <c r="I252" s="12"/>
      <c r="J252" s="15" t="str">
        <f aca="true">IF(OR(A252="",D252="Выполнено"),"",IF(F252="",IF(AND(G252&lt;&gt;"",G252&lt;&gt;"Разово"),"↻ "&amp;G252,""),IF(F252&lt;TODAY(),"Просрочено на "&amp;(TODAY()-F252)&amp;" дн.",IF(F252=TODAY(),"Сегодня",IF(F252=TODAY()+1,"Завтра","Через "&amp;(F252-TODAY())&amp;" дн.")))))</f>
        <v/>
      </c>
    </row>
    <row r="253" customFormat="false" ht="21.75" hidden="false" customHeight="true" outlineLevel="0" collapsed="false">
      <c r="A253" s="12"/>
      <c r="B253" s="12"/>
      <c r="C253" s="13"/>
      <c r="D253" s="13"/>
      <c r="E253" s="14"/>
      <c r="F253" s="14"/>
      <c r="G253" s="13"/>
      <c r="H253" s="13"/>
      <c r="I253" s="12"/>
      <c r="J253" s="15" t="str">
        <f aca="true">IF(OR(A253="",D253="Выполнено"),"",IF(F253="",IF(AND(G253&lt;&gt;"",G253&lt;&gt;"Разово"),"↻ "&amp;G253,""),IF(F253&lt;TODAY(),"Просрочено на "&amp;(TODAY()-F253)&amp;" дн.",IF(F253=TODAY(),"Сегодня",IF(F253=TODAY()+1,"Завтра","Через "&amp;(F253-TODAY())&amp;" дн.")))))</f>
        <v/>
      </c>
    </row>
    <row r="254" customFormat="false" ht="21.75" hidden="false" customHeight="true" outlineLevel="0" collapsed="false">
      <c r="A254" s="12"/>
      <c r="B254" s="12"/>
      <c r="C254" s="13"/>
      <c r="D254" s="13"/>
      <c r="E254" s="14"/>
      <c r="F254" s="14"/>
      <c r="G254" s="13"/>
      <c r="H254" s="13"/>
      <c r="I254" s="12"/>
      <c r="J254" s="15" t="str">
        <f aca="true">IF(OR(A254="",D254="Выполнено"),"",IF(F254="",IF(AND(G254&lt;&gt;"",G254&lt;&gt;"Разово"),"↻ "&amp;G254,""),IF(F254&lt;TODAY(),"Просрочено на "&amp;(TODAY()-F254)&amp;" дн.",IF(F254=TODAY(),"Сегодня",IF(F254=TODAY()+1,"Завтра","Через "&amp;(F254-TODAY())&amp;" дн.")))))</f>
        <v/>
      </c>
    </row>
    <row r="255" customFormat="false" ht="21.75" hidden="false" customHeight="true" outlineLevel="0" collapsed="false">
      <c r="A255" s="12"/>
      <c r="B255" s="12"/>
      <c r="C255" s="13"/>
      <c r="D255" s="13"/>
      <c r="E255" s="14"/>
      <c r="F255" s="14"/>
      <c r="G255" s="13"/>
      <c r="H255" s="13"/>
      <c r="I255" s="12"/>
      <c r="J255" s="15" t="str">
        <f aca="true">IF(OR(A255="",D255="Выполнено"),"",IF(F255="",IF(AND(G255&lt;&gt;"",G255&lt;&gt;"Разово"),"↻ "&amp;G255,""),IF(F255&lt;TODAY(),"Просрочено на "&amp;(TODAY()-F255)&amp;" дн.",IF(F255=TODAY(),"Сегодня",IF(F255=TODAY()+1,"Завтра","Через "&amp;(F255-TODAY())&amp;" дн.")))))</f>
        <v/>
      </c>
    </row>
    <row r="256" customFormat="false" ht="21.75" hidden="false" customHeight="true" outlineLevel="0" collapsed="false">
      <c r="A256" s="12"/>
      <c r="B256" s="12"/>
      <c r="C256" s="13"/>
      <c r="D256" s="13"/>
      <c r="E256" s="14"/>
      <c r="F256" s="14"/>
      <c r="G256" s="13"/>
      <c r="H256" s="13"/>
      <c r="I256" s="12"/>
      <c r="J256" s="15" t="str">
        <f aca="true">IF(OR(A256="",D256="Выполнено"),"",IF(F256="",IF(AND(G256&lt;&gt;"",G256&lt;&gt;"Разово"),"↻ "&amp;G256,""),IF(F256&lt;TODAY(),"Просрочено на "&amp;(TODAY()-F256)&amp;" дн.",IF(F256=TODAY(),"Сегодня",IF(F256=TODAY()+1,"Завтра","Через "&amp;(F256-TODAY())&amp;" дн.")))))</f>
        <v/>
      </c>
    </row>
    <row r="257" customFormat="false" ht="21.75" hidden="false" customHeight="true" outlineLevel="0" collapsed="false">
      <c r="A257" s="12"/>
      <c r="B257" s="12"/>
      <c r="C257" s="13"/>
      <c r="D257" s="13"/>
      <c r="E257" s="14"/>
      <c r="F257" s="14"/>
      <c r="G257" s="13"/>
      <c r="H257" s="13"/>
      <c r="I257" s="12"/>
      <c r="J257" s="15" t="str">
        <f aca="true">IF(OR(A257="",D257="Выполнено"),"",IF(F257="",IF(AND(G257&lt;&gt;"",G257&lt;&gt;"Разово"),"↻ "&amp;G257,""),IF(F257&lt;TODAY(),"Просрочено на "&amp;(TODAY()-F257)&amp;" дн.",IF(F257=TODAY(),"Сегодня",IF(F257=TODAY()+1,"Завтра","Через "&amp;(F257-TODAY())&amp;" дн.")))))</f>
        <v/>
      </c>
    </row>
    <row r="258" customFormat="false" ht="21.75" hidden="false" customHeight="true" outlineLevel="0" collapsed="false">
      <c r="A258" s="12"/>
      <c r="B258" s="12"/>
      <c r="C258" s="13"/>
      <c r="D258" s="13"/>
      <c r="E258" s="14"/>
      <c r="F258" s="14"/>
      <c r="G258" s="13"/>
      <c r="H258" s="13"/>
      <c r="I258" s="12"/>
      <c r="J258" s="15" t="str">
        <f aca="true">IF(OR(A258="",D258="Выполнено"),"",IF(F258="",IF(AND(G258&lt;&gt;"",G258&lt;&gt;"Разово"),"↻ "&amp;G258,""),IF(F258&lt;TODAY(),"Просрочено на "&amp;(TODAY()-F258)&amp;" дн.",IF(F258=TODAY(),"Сегодня",IF(F258=TODAY()+1,"Завтра","Через "&amp;(F258-TODAY())&amp;" дн.")))))</f>
        <v/>
      </c>
    </row>
    <row r="259" customFormat="false" ht="21.75" hidden="false" customHeight="true" outlineLevel="0" collapsed="false">
      <c r="A259" s="12"/>
      <c r="B259" s="12"/>
      <c r="C259" s="13"/>
      <c r="D259" s="13"/>
      <c r="E259" s="14"/>
      <c r="F259" s="14"/>
      <c r="G259" s="13"/>
      <c r="H259" s="13"/>
      <c r="I259" s="12"/>
      <c r="J259" s="15" t="str">
        <f aca="true">IF(OR(A259="",D259="Выполнено"),"",IF(F259="",IF(AND(G259&lt;&gt;"",G259&lt;&gt;"Разово"),"↻ "&amp;G259,""),IF(F259&lt;TODAY(),"Просрочено на "&amp;(TODAY()-F259)&amp;" дн.",IF(F259=TODAY(),"Сегодня",IF(F259=TODAY()+1,"Завтра","Через "&amp;(F259-TODAY())&amp;" дн.")))))</f>
        <v/>
      </c>
    </row>
    <row r="260" customFormat="false" ht="21.75" hidden="false" customHeight="true" outlineLevel="0" collapsed="false">
      <c r="A260" s="12"/>
      <c r="B260" s="12"/>
      <c r="C260" s="13"/>
      <c r="D260" s="13"/>
      <c r="E260" s="14"/>
      <c r="F260" s="14"/>
      <c r="G260" s="13"/>
      <c r="H260" s="13"/>
      <c r="I260" s="12"/>
      <c r="J260" s="15" t="str">
        <f aca="true">IF(OR(A260="",D260="Выполнено"),"",IF(F260="",IF(AND(G260&lt;&gt;"",G260&lt;&gt;"Разово"),"↻ "&amp;G260,""),IF(F260&lt;TODAY(),"Просрочено на "&amp;(TODAY()-F260)&amp;" дн.",IF(F260=TODAY(),"Сегодня",IF(F260=TODAY()+1,"Завтра","Через "&amp;(F260-TODAY())&amp;" дн.")))))</f>
        <v/>
      </c>
    </row>
    <row r="261" customFormat="false" ht="21.75" hidden="false" customHeight="true" outlineLevel="0" collapsed="false">
      <c r="A261" s="12"/>
      <c r="B261" s="12"/>
      <c r="C261" s="13"/>
      <c r="D261" s="13"/>
      <c r="E261" s="14"/>
      <c r="F261" s="14"/>
      <c r="G261" s="13"/>
      <c r="H261" s="13"/>
      <c r="I261" s="12"/>
      <c r="J261" s="15" t="str">
        <f aca="true">IF(OR(A261="",D261="Выполнено"),"",IF(F261="",IF(AND(G261&lt;&gt;"",G261&lt;&gt;"Разово"),"↻ "&amp;G261,""),IF(F261&lt;TODAY(),"Просрочено на "&amp;(TODAY()-F261)&amp;" дн.",IF(F261=TODAY(),"Сегодня",IF(F261=TODAY()+1,"Завтра","Через "&amp;(F261-TODAY())&amp;" дн.")))))</f>
        <v/>
      </c>
    </row>
    <row r="262" customFormat="false" ht="21.75" hidden="false" customHeight="true" outlineLevel="0" collapsed="false">
      <c r="A262" s="12"/>
      <c r="B262" s="12"/>
      <c r="C262" s="13"/>
      <c r="D262" s="13"/>
      <c r="E262" s="14"/>
      <c r="F262" s="14"/>
      <c r="G262" s="13"/>
      <c r="H262" s="13"/>
      <c r="I262" s="12"/>
      <c r="J262" s="15" t="str">
        <f aca="true">IF(OR(A262="",D262="Выполнено"),"",IF(F262="",IF(AND(G262&lt;&gt;"",G262&lt;&gt;"Разово"),"↻ "&amp;G262,""),IF(F262&lt;TODAY(),"Просрочено на "&amp;(TODAY()-F262)&amp;" дн.",IF(F262=TODAY(),"Сегодня",IF(F262=TODAY()+1,"Завтра","Через "&amp;(F262-TODAY())&amp;" дн.")))))</f>
        <v/>
      </c>
    </row>
    <row r="263" customFormat="false" ht="21.75" hidden="false" customHeight="true" outlineLevel="0" collapsed="false">
      <c r="A263" s="12"/>
      <c r="B263" s="12"/>
      <c r="C263" s="13"/>
      <c r="D263" s="13"/>
      <c r="E263" s="14"/>
      <c r="F263" s="14"/>
      <c r="G263" s="13"/>
      <c r="H263" s="13"/>
      <c r="I263" s="12"/>
      <c r="J263" s="15" t="str">
        <f aca="true">IF(OR(A263="",D263="Выполнено"),"",IF(F263="",IF(AND(G263&lt;&gt;"",G263&lt;&gt;"Разово"),"↻ "&amp;G263,""),IF(F263&lt;TODAY(),"Просрочено на "&amp;(TODAY()-F263)&amp;" дн.",IF(F263=TODAY(),"Сегодня",IF(F263=TODAY()+1,"Завтра","Через "&amp;(F263-TODAY())&amp;" дн.")))))</f>
        <v/>
      </c>
    </row>
    <row r="264" customFormat="false" ht="21.75" hidden="false" customHeight="true" outlineLevel="0" collapsed="false">
      <c r="A264" s="12"/>
      <c r="B264" s="12"/>
      <c r="C264" s="13"/>
      <c r="D264" s="13"/>
      <c r="E264" s="14"/>
      <c r="F264" s="14"/>
      <c r="G264" s="13"/>
      <c r="H264" s="13"/>
      <c r="I264" s="12"/>
      <c r="J264" s="15" t="str">
        <f aca="true">IF(OR(A264="",D264="Выполнено"),"",IF(F264="",IF(AND(G264&lt;&gt;"",G264&lt;&gt;"Разово"),"↻ "&amp;G264,""),IF(F264&lt;TODAY(),"Просрочено на "&amp;(TODAY()-F264)&amp;" дн.",IF(F264=TODAY(),"Сегодня",IF(F264=TODAY()+1,"Завтра","Через "&amp;(F264-TODAY())&amp;" дн.")))))</f>
        <v/>
      </c>
    </row>
    <row r="265" customFormat="false" ht="21.75" hidden="false" customHeight="true" outlineLevel="0" collapsed="false">
      <c r="A265" s="12"/>
      <c r="B265" s="12"/>
      <c r="C265" s="13"/>
      <c r="D265" s="13"/>
      <c r="E265" s="14"/>
      <c r="F265" s="14"/>
      <c r="G265" s="13"/>
      <c r="H265" s="13"/>
      <c r="I265" s="12"/>
      <c r="J265" s="15" t="str">
        <f aca="true">IF(OR(A265="",D265="Выполнено"),"",IF(F265="",IF(AND(G265&lt;&gt;"",G265&lt;&gt;"Разово"),"↻ "&amp;G265,""),IF(F265&lt;TODAY(),"Просрочено на "&amp;(TODAY()-F265)&amp;" дн.",IF(F265=TODAY(),"Сегодня",IF(F265=TODAY()+1,"Завтра","Через "&amp;(F265-TODAY())&amp;" дн.")))))</f>
        <v/>
      </c>
    </row>
    <row r="266" customFormat="false" ht="21.75" hidden="false" customHeight="true" outlineLevel="0" collapsed="false">
      <c r="A266" s="12"/>
      <c r="B266" s="12"/>
      <c r="C266" s="13"/>
      <c r="D266" s="13"/>
      <c r="E266" s="14"/>
      <c r="F266" s="14"/>
      <c r="G266" s="13"/>
      <c r="H266" s="13"/>
      <c r="I266" s="12"/>
      <c r="J266" s="15" t="str">
        <f aca="true">IF(OR(A266="",D266="Выполнено"),"",IF(F266="",IF(AND(G266&lt;&gt;"",G266&lt;&gt;"Разово"),"↻ "&amp;G266,""),IF(F266&lt;TODAY(),"Просрочено на "&amp;(TODAY()-F266)&amp;" дн.",IF(F266=TODAY(),"Сегодня",IF(F266=TODAY()+1,"Завтра","Через "&amp;(F266-TODAY())&amp;" дн.")))))</f>
        <v/>
      </c>
    </row>
    <row r="267" customFormat="false" ht="21.75" hidden="false" customHeight="true" outlineLevel="0" collapsed="false">
      <c r="A267" s="12"/>
      <c r="B267" s="12"/>
      <c r="C267" s="13"/>
      <c r="D267" s="13"/>
      <c r="E267" s="14"/>
      <c r="F267" s="14"/>
      <c r="G267" s="13"/>
      <c r="H267" s="13"/>
      <c r="I267" s="12"/>
      <c r="J267" s="15" t="str">
        <f aca="true">IF(OR(A267="",D267="Выполнено"),"",IF(F267="",IF(AND(G267&lt;&gt;"",G267&lt;&gt;"Разово"),"↻ "&amp;G267,""),IF(F267&lt;TODAY(),"Просрочено на "&amp;(TODAY()-F267)&amp;" дн.",IF(F267=TODAY(),"Сегодня",IF(F267=TODAY()+1,"Завтра","Через "&amp;(F267-TODAY())&amp;" дн.")))))</f>
        <v/>
      </c>
    </row>
    <row r="268" customFormat="false" ht="21.75" hidden="false" customHeight="true" outlineLevel="0" collapsed="false">
      <c r="A268" s="12"/>
      <c r="B268" s="12"/>
      <c r="C268" s="13"/>
      <c r="D268" s="13"/>
      <c r="E268" s="14"/>
      <c r="F268" s="14"/>
      <c r="G268" s="13"/>
      <c r="H268" s="13"/>
      <c r="I268" s="12"/>
      <c r="J268" s="15" t="str">
        <f aca="true">IF(OR(A268="",D268="Выполнено"),"",IF(F268="",IF(AND(G268&lt;&gt;"",G268&lt;&gt;"Разово"),"↻ "&amp;G268,""),IF(F268&lt;TODAY(),"Просрочено на "&amp;(TODAY()-F268)&amp;" дн.",IF(F268=TODAY(),"Сегодня",IF(F268=TODAY()+1,"Завтра","Через "&amp;(F268-TODAY())&amp;" дн.")))))</f>
        <v/>
      </c>
    </row>
    <row r="269" customFormat="false" ht="21.75" hidden="false" customHeight="true" outlineLevel="0" collapsed="false">
      <c r="A269" s="12"/>
      <c r="B269" s="12"/>
      <c r="C269" s="13"/>
      <c r="D269" s="13"/>
      <c r="E269" s="14"/>
      <c r="F269" s="14"/>
      <c r="G269" s="13"/>
      <c r="H269" s="13"/>
      <c r="I269" s="12"/>
      <c r="J269" s="15" t="str">
        <f aca="true">IF(OR(A269="",D269="Выполнено"),"",IF(F269="",IF(AND(G269&lt;&gt;"",G269&lt;&gt;"Разово"),"↻ "&amp;G269,""),IF(F269&lt;TODAY(),"Просрочено на "&amp;(TODAY()-F269)&amp;" дн.",IF(F269=TODAY(),"Сегодня",IF(F269=TODAY()+1,"Завтра","Через "&amp;(F269-TODAY())&amp;" дн.")))))</f>
        <v/>
      </c>
    </row>
    <row r="270" customFormat="false" ht="21.75" hidden="false" customHeight="true" outlineLevel="0" collapsed="false">
      <c r="A270" s="12"/>
      <c r="B270" s="12"/>
      <c r="C270" s="13"/>
      <c r="D270" s="13"/>
      <c r="E270" s="14"/>
      <c r="F270" s="14"/>
      <c r="G270" s="13"/>
      <c r="H270" s="13"/>
      <c r="I270" s="12"/>
      <c r="J270" s="15" t="str">
        <f aca="true">IF(OR(A270="",D270="Выполнено"),"",IF(F270="",IF(AND(G270&lt;&gt;"",G270&lt;&gt;"Разово"),"↻ "&amp;G270,""),IF(F270&lt;TODAY(),"Просрочено на "&amp;(TODAY()-F270)&amp;" дн.",IF(F270=TODAY(),"Сегодня",IF(F270=TODAY()+1,"Завтра","Через "&amp;(F270-TODAY())&amp;" дн.")))))</f>
        <v/>
      </c>
    </row>
    <row r="271" customFormat="false" ht="21.75" hidden="false" customHeight="true" outlineLevel="0" collapsed="false">
      <c r="A271" s="12"/>
      <c r="B271" s="12"/>
      <c r="C271" s="13"/>
      <c r="D271" s="13"/>
      <c r="E271" s="14"/>
      <c r="F271" s="14"/>
      <c r="G271" s="13"/>
      <c r="H271" s="13"/>
      <c r="I271" s="12"/>
      <c r="J271" s="15" t="str">
        <f aca="true">IF(OR(A271="",D271="Выполнено"),"",IF(F271="",IF(AND(G271&lt;&gt;"",G271&lt;&gt;"Разово"),"↻ "&amp;G271,""),IF(F271&lt;TODAY(),"Просрочено на "&amp;(TODAY()-F271)&amp;" дн.",IF(F271=TODAY(),"Сегодня",IF(F271=TODAY()+1,"Завтра","Через "&amp;(F271-TODAY())&amp;" дн.")))))</f>
        <v/>
      </c>
    </row>
    <row r="272" customFormat="false" ht="21.75" hidden="false" customHeight="true" outlineLevel="0" collapsed="false">
      <c r="A272" s="12"/>
      <c r="B272" s="12"/>
      <c r="C272" s="13"/>
      <c r="D272" s="13"/>
      <c r="E272" s="14"/>
      <c r="F272" s="14"/>
      <c r="G272" s="13"/>
      <c r="H272" s="13"/>
      <c r="I272" s="12"/>
      <c r="J272" s="15" t="str">
        <f aca="true">IF(OR(A272="",D272="Выполнено"),"",IF(F272="",IF(AND(G272&lt;&gt;"",G272&lt;&gt;"Разово"),"↻ "&amp;G272,""),IF(F272&lt;TODAY(),"Просрочено на "&amp;(TODAY()-F272)&amp;" дн.",IF(F272=TODAY(),"Сегодня",IF(F272=TODAY()+1,"Завтра","Через "&amp;(F272-TODAY())&amp;" дн.")))))</f>
        <v/>
      </c>
    </row>
    <row r="273" customFormat="false" ht="21.75" hidden="false" customHeight="true" outlineLevel="0" collapsed="false">
      <c r="A273" s="12"/>
      <c r="B273" s="12"/>
      <c r="C273" s="13"/>
      <c r="D273" s="13"/>
      <c r="E273" s="14"/>
      <c r="F273" s="14"/>
      <c r="G273" s="13"/>
      <c r="H273" s="13"/>
      <c r="I273" s="12"/>
      <c r="J273" s="15" t="str">
        <f aca="true">IF(OR(A273="",D273="Выполнено"),"",IF(F273="",IF(AND(G273&lt;&gt;"",G273&lt;&gt;"Разово"),"↻ "&amp;G273,""),IF(F273&lt;TODAY(),"Просрочено на "&amp;(TODAY()-F273)&amp;" дн.",IF(F273=TODAY(),"Сегодня",IF(F273=TODAY()+1,"Завтра","Через "&amp;(F273-TODAY())&amp;" дн.")))))</f>
        <v/>
      </c>
    </row>
    <row r="274" customFormat="false" ht="21.75" hidden="false" customHeight="true" outlineLevel="0" collapsed="false">
      <c r="A274" s="12"/>
      <c r="B274" s="12"/>
      <c r="C274" s="13"/>
      <c r="D274" s="13"/>
      <c r="E274" s="14"/>
      <c r="F274" s="14"/>
      <c r="G274" s="13"/>
      <c r="H274" s="13"/>
      <c r="I274" s="12"/>
      <c r="J274" s="15" t="str">
        <f aca="true">IF(OR(A274="",D274="Выполнено"),"",IF(F274="",IF(AND(G274&lt;&gt;"",G274&lt;&gt;"Разово"),"↻ "&amp;G274,""),IF(F274&lt;TODAY(),"Просрочено на "&amp;(TODAY()-F274)&amp;" дн.",IF(F274=TODAY(),"Сегодня",IF(F274=TODAY()+1,"Завтра","Через "&amp;(F274-TODAY())&amp;" дн.")))))</f>
        <v/>
      </c>
    </row>
    <row r="275" customFormat="false" ht="21.75" hidden="false" customHeight="true" outlineLevel="0" collapsed="false">
      <c r="A275" s="12"/>
      <c r="B275" s="12"/>
      <c r="C275" s="13"/>
      <c r="D275" s="13"/>
      <c r="E275" s="14"/>
      <c r="F275" s="14"/>
      <c r="G275" s="13"/>
      <c r="H275" s="13"/>
      <c r="I275" s="12"/>
      <c r="J275" s="15" t="str">
        <f aca="true">IF(OR(A275="",D275="Выполнено"),"",IF(F275="",IF(AND(G275&lt;&gt;"",G275&lt;&gt;"Разово"),"↻ "&amp;G275,""),IF(F275&lt;TODAY(),"Просрочено на "&amp;(TODAY()-F275)&amp;" дн.",IF(F275=TODAY(),"Сегодня",IF(F275=TODAY()+1,"Завтра","Через "&amp;(F275-TODAY())&amp;" дн.")))))</f>
        <v/>
      </c>
    </row>
    <row r="276" customFormat="false" ht="21.75" hidden="false" customHeight="true" outlineLevel="0" collapsed="false">
      <c r="A276" s="12"/>
      <c r="B276" s="12"/>
      <c r="C276" s="13"/>
      <c r="D276" s="13"/>
      <c r="E276" s="14"/>
      <c r="F276" s="14"/>
      <c r="G276" s="13"/>
      <c r="H276" s="13"/>
      <c r="I276" s="12"/>
      <c r="J276" s="15" t="str">
        <f aca="true">IF(OR(A276="",D276="Выполнено"),"",IF(F276="",IF(AND(G276&lt;&gt;"",G276&lt;&gt;"Разово"),"↻ "&amp;G276,""),IF(F276&lt;TODAY(),"Просрочено на "&amp;(TODAY()-F276)&amp;" дн.",IF(F276=TODAY(),"Сегодня",IF(F276=TODAY()+1,"Завтра","Через "&amp;(F276-TODAY())&amp;" дн.")))))</f>
        <v/>
      </c>
    </row>
    <row r="277" customFormat="false" ht="21.75" hidden="false" customHeight="true" outlineLevel="0" collapsed="false">
      <c r="A277" s="12"/>
      <c r="B277" s="12"/>
      <c r="C277" s="13"/>
      <c r="D277" s="13"/>
      <c r="E277" s="14"/>
      <c r="F277" s="14"/>
      <c r="G277" s="13"/>
      <c r="H277" s="13"/>
      <c r="I277" s="12"/>
      <c r="J277" s="15" t="str">
        <f aca="true">IF(OR(A277="",D277="Выполнено"),"",IF(F277="",IF(AND(G277&lt;&gt;"",G277&lt;&gt;"Разово"),"↻ "&amp;G277,""),IF(F277&lt;TODAY(),"Просрочено на "&amp;(TODAY()-F277)&amp;" дн.",IF(F277=TODAY(),"Сегодня",IF(F277=TODAY()+1,"Завтра","Через "&amp;(F277-TODAY())&amp;" дн.")))))</f>
        <v/>
      </c>
    </row>
    <row r="278" customFormat="false" ht="21.75" hidden="false" customHeight="true" outlineLevel="0" collapsed="false">
      <c r="A278" s="12"/>
      <c r="B278" s="12"/>
      <c r="C278" s="13"/>
      <c r="D278" s="13"/>
      <c r="E278" s="14"/>
      <c r="F278" s="14"/>
      <c r="G278" s="13"/>
      <c r="H278" s="13"/>
      <c r="I278" s="12"/>
      <c r="J278" s="15" t="str">
        <f aca="true">IF(OR(A278="",D278="Выполнено"),"",IF(F278="",IF(AND(G278&lt;&gt;"",G278&lt;&gt;"Разово"),"↻ "&amp;G278,""),IF(F278&lt;TODAY(),"Просрочено на "&amp;(TODAY()-F278)&amp;" дн.",IF(F278=TODAY(),"Сегодня",IF(F278=TODAY()+1,"Завтра","Через "&amp;(F278-TODAY())&amp;" дн.")))))</f>
        <v/>
      </c>
    </row>
    <row r="279" customFormat="false" ht="21.75" hidden="false" customHeight="true" outlineLevel="0" collapsed="false">
      <c r="A279" s="12"/>
      <c r="B279" s="12"/>
      <c r="C279" s="13"/>
      <c r="D279" s="13"/>
      <c r="E279" s="14"/>
      <c r="F279" s="14"/>
      <c r="G279" s="13"/>
      <c r="H279" s="13"/>
      <c r="I279" s="12"/>
      <c r="J279" s="15" t="str">
        <f aca="true">IF(OR(A279="",D279="Выполнено"),"",IF(F279="",IF(AND(G279&lt;&gt;"",G279&lt;&gt;"Разово"),"↻ "&amp;G279,""),IF(F279&lt;TODAY(),"Просрочено на "&amp;(TODAY()-F279)&amp;" дн.",IF(F279=TODAY(),"Сегодня",IF(F279=TODAY()+1,"Завтра","Через "&amp;(F279-TODAY())&amp;" дн.")))))</f>
        <v/>
      </c>
    </row>
    <row r="280" customFormat="false" ht="21.75" hidden="false" customHeight="true" outlineLevel="0" collapsed="false">
      <c r="A280" s="12"/>
      <c r="B280" s="12"/>
      <c r="C280" s="13"/>
      <c r="D280" s="13"/>
      <c r="E280" s="14"/>
      <c r="F280" s="14"/>
      <c r="G280" s="13"/>
      <c r="H280" s="13"/>
      <c r="I280" s="12"/>
      <c r="J280" s="15" t="str">
        <f aca="true">IF(OR(A280="",D280="Выполнено"),"",IF(F280="",IF(AND(G280&lt;&gt;"",G280&lt;&gt;"Разово"),"↻ "&amp;G280,""),IF(F280&lt;TODAY(),"Просрочено на "&amp;(TODAY()-F280)&amp;" дн.",IF(F280=TODAY(),"Сегодня",IF(F280=TODAY()+1,"Завтра","Через "&amp;(F280-TODAY())&amp;" дн.")))))</f>
        <v/>
      </c>
    </row>
    <row r="281" customFormat="false" ht="21.75" hidden="false" customHeight="true" outlineLevel="0" collapsed="false">
      <c r="A281" s="12"/>
      <c r="B281" s="12"/>
      <c r="C281" s="13"/>
      <c r="D281" s="13"/>
      <c r="E281" s="14"/>
      <c r="F281" s="14"/>
      <c r="G281" s="13"/>
      <c r="H281" s="13"/>
      <c r="I281" s="12"/>
      <c r="J281" s="15" t="str">
        <f aca="true">IF(OR(A281="",D281="Выполнено"),"",IF(F281="",IF(AND(G281&lt;&gt;"",G281&lt;&gt;"Разово"),"↻ "&amp;G281,""),IF(F281&lt;TODAY(),"Просрочено на "&amp;(TODAY()-F281)&amp;" дн.",IF(F281=TODAY(),"Сегодня",IF(F281=TODAY()+1,"Завтра","Через "&amp;(F281-TODAY())&amp;" дн.")))))</f>
        <v/>
      </c>
    </row>
    <row r="282" customFormat="false" ht="21.75" hidden="false" customHeight="true" outlineLevel="0" collapsed="false">
      <c r="A282" s="12"/>
      <c r="B282" s="12"/>
      <c r="C282" s="13"/>
      <c r="D282" s="13"/>
      <c r="E282" s="14"/>
      <c r="F282" s="14"/>
      <c r="G282" s="13"/>
      <c r="H282" s="13"/>
      <c r="I282" s="12"/>
      <c r="J282" s="15" t="str">
        <f aca="true">IF(OR(A282="",D282="Выполнено"),"",IF(F282="",IF(AND(G282&lt;&gt;"",G282&lt;&gt;"Разово"),"↻ "&amp;G282,""),IF(F282&lt;TODAY(),"Просрочено на "&amp;(TODAY()-F282)&amp;" дн.",IF(F282=TODAY(),"Сегодня",IF(F282=TODAY()+1,"Завтра","Через "&amp;(F282-TODAY())&amp;" дн.")))))</f>
        <v/>
      </c>
    </row>
    <row r="283" customFormat="false" ht="21.75" hidden="false" customHeight="true" outlineLevel="0" collapsed="false">
      <c r="A283" s="12"/>
      <c r="B283" s="12"/>
      <c r="C283" s="13"/>
      <c r="D283" s="13"/>
      <c r="E283" s="14"/>
      <c r="F283" s="14"/>
      <c r="G283" s="13"/>
      <c r="H283" s="13"/>
      <c r="I283" s="12"/>
      <c r="J283" s="15" t="str">
        <f aca="true">IF(OR(A283="",D283="Выполнено"),"",IF(F283="",IF(AND(G283&lt;&gt;"",G283&lt;&gt;"Разово"),"↻ "&amp;G283,""),IF(F283&lt;TODAY(),"Просрочено на "&amp;(TODAY()-F283)&amp;" дн.",IF(F283=TODAY(),"Сегодня",IF(F283=TODAY()+1,"Завтра","Через "&amp;(F283-TODAY())&amp;" дн.")))))</f>
        <v/>
      </c>
    </row>
    <row r="284" customFormat="false" ht="21.75" hidden="false" customHeight="true" outlineLevel="0" collapsed="false">
      <c r="A284" s="12"/>
      <c r="B284" s="12"/>
      <c r="C284" s="13"/>
      <c r="D284" s="13"/>
      <c r="E284" s="14"/>
      <c r="F284" s="14"/>
      <c r="G284" s="13"/>
      <c r="H284" s="13"/>
      <c r="I284" s="12"/>
      <c r="J284" s="15" t="str">
        <f aca="true">IF(OR(A284="",D284="Выполнено"),"",IF(F284="",IF(AND(G284&lt;&gt;"",G284&lt;&gt;"Разово"),"↻ "&amp;G284,""),IF(F284&lt;TODAY(),"Просрочено на "&amp;(TODAY()-F284)&amp;" дн.",IF(F284=TODAY(),"Сегодня",IF(F284=TODAY()+1,"Завтра","Через "&amp;(F284-TODAY())&amp;" дн.")))))</f>
        <v/>
      </c>
    </row>
    <row r="285" customFormat="false" ht="21.75" hidden="false" customHeight="true" outlineLevel="0" collapsed="false">
      <c r="A285" s="12"/>
      <c r="B285" s="12"/>
      <c r="C285" s="13"/>
      <c r="D285" s="13"/>
      <c r="E285" s="14"/>
      <c r="F285" s="14"/>
      <c r="G285" s="13"/>
      <c r="H285" s="13"/>
      <c r="I285" s="12"/>
      <c r="J285" s="15" t="str">
        <f aca="true">IF(OR(A285="",D285="Выполнено"),"",IF(F285="",IF(AND(G285&lt;&gt;"",G285&lt;&gt;"Разово"),"↻ "&amp;G285,""),IF(F285&lt;TODAY(),"Просрочено на "&amp;(TODAY()-F285)&amp;" дн.",IF(F285=TODAY(),"Сегодня",IF(F285=TODAY()+1,"Завтра","Через "&amp;(F285-TODAY())&amp;" дн.")))))</f>
        <v/>
      </c>
    </row>
    <row r="286" customFormat="false" ht="21.75" hidden="false" customHeight="true" outlineLevel="0" collapsed="false">
      <c r="A286" s="12"/>
      <c r="B286" s="12"/>
      <c r="C286" s="13"/>
      <c r="D286" s="13"/>
      <c r="E286" s="14"/>
      <c r="F286" s="14"/>
      <c r="G286" s="13"/>
      <c r="H286" s="13"/>
      <c r="I286" s="12"/>
      <c r="J286" s="15" t="str">
        <f aca="true">IF(OR(A286="",D286="Выполнено"),"",IF(F286="",IF(AND(G286&lt;&gt;"",G286&lt;&gt;"Разово"),"↻ "&amp;G286,""),IF(F286&lt;TODAY(),"Просрочено на "&amp;(TODAY()-F286)&amp;" дн.",IF(F286=TODAY(),"Сегодня",IF(F286=TODAY()+1,"Завтра","Через "&amp;(F286-TODAY())&amp;" дн.")))))</f>
        <v/>
      </c>
    </row>
    <row r="287" customFormat="false" ht="21.75" hidden="false" customHeight="true" outlineLevel="0" collapsed="false">
      <c r="A287" s="12"/>
      <c r="B287" s="12"/>
      <c r="C287" s="13"/>
      <c r="D287" s="13"/>
      <c r="E287" s="14"/>
      <c r="F287" s="14"/>
      <c r="G287" s="13"/>
      <c r="H287" s="13"/>
      <c r="I287" s="12"/>
      <c r="J287" s="15" t="str">
        <f aca="true">IF(OR(A287="",D287="Выполнено"),"",IF(F287="",IF(AND(G287&lt;&gt;"",G287&lt;&gt;"Разово"),"↻ "&amp;G287,""),IF(F287&lt;TODAY(),"Просрочено на "&amp;(TODAY()-F287)&amp;" дн.",IF(F287=TODAY(),"Сегодня",IF(F287=TODAY()+1,"Завтра","Через "&amp;(F287-TODAY())&amp;" дн.")))))</f>
        <v/>
      </c>
    </row>
    <row r="288" customFormat="false" ht="21.75" hidden="false" customHeight="true" outlineLevel="0" collapsed="false">
      <c r="A288" s="12"/>
      <c r="B288" s="12"/>
      <c r="C288" s="13"/>
      <c r="D288" s="13"/>
      <c r="E288" s="14"/>
      <c r="F288" s="14"/>
      <c r="G288" s="13"/>
      <c r="H288" s="13"/>
      <c r="I288" s="12"/>
      <c r="J288" s="15" t="str">
        <f aca="true">IF(OR(A288="",D288="Выполнено"),"",IF(F288="",IF(AND(G288&lt;&gt;"",G288&lt;&gt;"Разово"),"↻ "&amp;G288,""),IF(F288&lt;TODAY(),"Просрочено на "&amp;(TODAY()-F288)&amp;" дн.",IF(F288=TODAY(),"Сегодня",IF(F288=TODAY()+1,"Завтра","Через "&amp;(F288-TODAY())&amp;" дн.")))))</f>
        <v/>
      </c>
    </row>
    <row r="289" customFormat="false" ht="21.75" hidden="false" customHeight="true" outlineLevel="0" collapsed="false">
      <c r="A289" s="12"/>
      <c r="B289" s="12"/>
      <c r="C289" s="13"/>
      <c r="D289" s="13"/>
      <c r="E289" s="14"/>
      <c r="F289" s="14"/>
      <c r="G289" s="13"/>
      <c r="H289" s="13"/>
      <c r="I289" s="12"/>
      <c r="J289" s="15" t="str">
        <f aca="true">IF(OR(A289="",D289="Выполнено"),"",IF(F289="",IF(AND(G289&lt;&gt;"",G289&lt;&gt;"Разово"),"↻ "&amp;G289,""),IF(F289&lt;TODAY(),"Просрочено на "&amp;(TODAY()-F289)&amp;" дн.",IF(F289=TODAY(),"Сегодня",IF(F289=TODAY()+1,"Завтра","Через "&amp;(F289-TODAY())&amp;" дн.")))))</f>
        <v/>
      </c>
    </row>
    <row r="290" customFormat="false" ht="21.75" hidden="false" customHeight="true" outlineLevel="0" collapsed="false">
      <c r="A290" s="12"/>
      <c r="B290" s="12"/>
      <c r="C290" s="13"/>
      <c r="D290" s="13"/>
      <c r="E290" s="14"/>
      <c r="F290" s="14"/>
      <c r="G290" s="13"/>
      <c r="H290" s="13"/>
      <c r="I290" s="12"/>
      <c r="J290" s="15" t="str">
        <f aca="true">IF(OR(A290="",D290="Выполнено"),"",IF(F290="",IF(AND(G290&lt;&gt;"",G290&lt;&gt;"Разово"),"↻ "&amp;G290,""),IF(F290&lt;TODAY(),"Просрочено на "&amp;(TODAY()-F290)&amp;" дн.",IF(F290=TODAY(),"Сегодня",IF(F290=TODAY()+1,"Завтра","Через "&amp;(F290-TODAY())&amp;" дн.")))))</f>
        <v/>
      </c>
    </row>
    <row r="291" customFormat="false" ht="21.75" hidden="false" customHeight="true" outlineLevel="0" collapsed="false">
      <c r="A291" s="12"/>
      <c r="B291" s="12"/>
      <c r="C291" s="13"/>
      <c r="D291" s="13"/>
      <c r="E291" s="14"/>
      <c r="F291" s="14"/>
      <c r="G291" s="13"/>
      <c r="H291" s="13"/>
      <c r="I291" s="12"/>
      <c r="J291" s="15" t="str">
        <f aca="true">IF(OR(A291="",D291="Выполнено"),"",IF(F291="",IF(AND(G291&lt;&gt;"",G291&lt;&gt;"Разово"),"↻ "&amp;G291,""),IF(F291&lt;TODAY(),"Просрочено на "&amp;(TODAY()-F291)&amp;" дн.",IF(F291=TODAY(),"Сегодня",IF(F291=TODAY()+1,"Завтра","Через "&amp;(F291-TODAY())&amp;" дн.")))))</f>
        <v/>
      </c>
    </row>
    <row r="292" customFormat="false" ht="21.75" hidden="false" customHeight="true" outlineLevel="0" collapsed="false">
      <c r="A292" s="12"/>
      <c r="B292" s="12"/>
      <c r="C292" s="13"/>
      <c r="D292" s="13"/>
      <c r="E292" s="14"/>
      <c r="F292" s="14"/>
      <c r="G292" s="13"/>
      <c r="H292" s="13"/>
      <c r="I292" s="12"/>
      <c r="J292" s="15" t="str">
        <f aca="true">IF(OR(A292="",D292="Выполнено"),"",IF(F292="",IF(AND(G292&lt;&gt;"",G292&lt;&gt;"Разово"),"↻ "&amp;G292,""),IF(F292&lt;TODAY(),"Просрочено на "&amp;(TODAY()-F292)&amp;" дн.",IF(F292=TODAY(),"Сегодня",IF(F292=TODAY()+1,"Завтра","Через "&amp;(F292-TODAY())&amp;" дн.")))))</f>
        <v/>
      </c>
    </row>
    <row r="293" customFormat="false" ht="21.75" hidden="false" customHeight="true" outlineLevel="0" collapsed="false">
      <c r="A293" s="12"/>
      <c r="B293" s="12"/>
      <c r="C293" s="13"/>
      <c r="D293" s="13"/>
      <c r="E293" s="14"/>
      <c r="F293" s="14"/>
      <c r="G293" s="13"/>
      <c r="H293" s="13"/>
      <c r="I293" s="12"/>
      <c r="J293" s="15" t="str">
        <f aca="true">IF(OR(A293="",D293="Выполнено"),"",IF(F293="",IF(AND(G293&lt;&gt;"",G293&lt;&gt;"Разово"),"↻ "&amp;G293,""),IF(F293&lt;TODAY(),"Просрочено на "&amp;(TODAY()-F293)&amp;" дн.",IF(F293=TODAY(),"Сегодня",IF(F293=TODAY()+1,"Завтра","Через "&amp;(F293-TODAY())&amp;" дн.")))))</f>
        <v/>
      </c>
    </row>
    <row r="294" customFormat="false" ht="21.75" hidden="false" customHeight="true" outlineLevel="0" collapsed="false">
      <c r="A294" s="12"/>
      <c r="B294" s="12"/>
      <c r="C294" s="13"/>
      <c r="D294" s="13"/>
      <c r="E294" s="14"/>
      <c r="F294" s="14"/>
      <c r="G294" s="13"/>
      <c r="H294" s="13"/>
      <c r="I294" s="12"/>
      <c r="J294" s="15" t="str">
        <f aca="true">IF(OR(A294="",D294="Выполнено"),"",IF(F294="",IF(AND(G294&lt;&gt;"",G294&lt;&gt;"Разово"),"↻ "&amp;G294,""),IF(F294&lt;TODAY(),"Просрочено на "&amp;(TODAY()-F294)&amp;" дн.",IF(F294=TODAY(),"Сегодня",IF(F294=TODAY()+1,"Завтра","Через "&amp;(F294-TODAY())&amp;" дн.")))))</f>
        <v/>
      </c>
    </row>
    <row r="295" customFormat="false" ht="21.75" hidden="false" customHeight="true" outlineLevel="0" collapsed="false">
      <c r="A295" s="12"/>
      <c r="B295" s="12"/>
      <c r="C295" s="13"/>
      <c r="D295" s="13"/>
      <c r="E295" s="14"/>
      <c r="F295" s="14"/>
      <c r="G295" s="13"/>
      <c r="H295" s="13"/>
      <c r="I295" s="12"/>
      <c r="J295" s="15" t="str">
        <f aca="true">IF(OR(A295="",D295="Выполнено"),"",IF(F295="",IF(AND(G295&lt;&gt;"",G295&lt;&gt;"Разово"),"↻ "&amp;G295,""),IF(F295&lt;TODAY(),"Просрочено на "&amp;(TODAY()-F295)&amp;" дн.",IF(F295=TODAY(),"Сегодня",IF(F295=TODAY()+1,"Завтра","Через "&amp;(F295-TODAY())&amp;" дн.")))))</f>
        <v/>
      </c>
    </row>
    <row r="296" customFormat="false" ht="21.75" hidden="false" customHeight="true" outlineLevel="0" collapsed="false">
      <c r="A296" s="12"/>
      <c r="B296" s="12"/>
      <c r="C296" s="13"/>
      <c r="D296" s="13"/>
      <c r="E296" s="14"/>
      <c r="F296" s="14"/>
      <c r="G296" s="13"/>
      <c r="H296" s="13"/>
      <c r="I296" s="12"/>
      <c r="J296" s="15" t="str">
        <f aca="true">IF(OR(A296="",D296="Выполнено"),"",IF(F296="",IF(AND(G296&lt;&gt;"",G296&lt;&gt;"Разово"),"↻ "&amp;G296,""),IF(F296&lt;TODAY(),"Просрочено на "&amp;(TODAY()-F296)&amp;" дн.",IF(F296=TODAY(),"Сегодня",IF(F296=TODAY()+1,"Завтра","Через "&amp;(F296-TODAY())&amp;" дн.")))))</f>
        <v/>
      </c>
    </row>
    <row r="297" customFormat="false" ht="21.75" hidden="false" customHeight="true" outlineLevel="0" collapsed="false">
      <c r="A297" s="12"/>
      <c r="B297" s="12"/>
      <c r="C297" s="13"/>
      <c r="D297" s="13"/>
      <c r="E297" s="14"/>
      <c r="F297" s="14"/>
      <c r="G297" s="13"/>
      <c r="H297" s="13"/>
      <c r="I297" s="12"/>
      <c r="J297" s="15" t="str">
        <f aca="true">IF(OR(A297="",D297="Выполнено"),"",IF(F297="",IF(AND(G297&lt;&gt;"",G297&lt;&gt;"Разово"),"↻ "&amp;G297,""),IF(F297&lt;TODAY(),"Просрочено на "&amp;(TODAY()-F297)&amp;" дн.",IF(F297=TODAY(),"Сегодня",IF(F297=TODAY()+1,"Завтра","Через "&amp;(F297-TODAY())&amp;" дн.")))))</f>
        <v/>
      </c>
    </row>
    <row r="298" customFormat="false" ht="21.75" hidden="false" customHeight="true" outlineLevel="0" collapsed="false">
      <c r="A298" s="12"/>
      <c r="B298" s="12"/>
      <c r="C298" s="13"/>
      <c r="D298" s="13"/>
      <c r="E298" s="14"/>
      <c r="F298" s="14"/>
      <c r="G298" s="13"/>
      <c r="H298" s="13"/>
      <c r="I298" s="12"/>
      <c r="J298" s="15" t="str">
        <f aca="true">IF(OR(A298="",D298="Выполнено"),"",IF(F298="",IF(AND(G298&lt;&gt;"",G298&lt;&gt;"Разово"),"↻ "&amp;G298,""),IF(F298&lt;TODAY(),"Просрочено на "&amp;(TODAY()-F298)&amp;" дн.",IF(F298=TODAY(),"Сегодня",IF(F298=TODAY()+1,"Завтра","Через "&amp;(F298-TODAY())&amp;" дн.")))))</f>
        <v/>
      </c>
    </row>
    <row r="299" customFormat="false" ht="21.75" hidden="false" customHeight="true" outlineLevel="0" collapsed="false">
      <c r="A299" s="12"/>
      <c r="B299" s="12"/>
      <c r="C299" s="13"/>
      <c r="D299" s="13"/>
      <c r="E299" s="14"/>
      <c r="F299" s="14"/>
      <c r="G299" s="13"/>
      <c r="H299" s="13"/>
      <c r="I299" s="12"/>
      <c r="J299" s="15" t="str">
        <f aca="true">IF(OR(A299="",D299="Выполнено"),"",IF(F299="",IF(AND(G299&lt;&gt;"",G299&lt;&gt;"Разово"),"↻ "&amp;G299,""),IF(F299&lt;TODAY(),"Просрочено на "&amp;(TODAY()-F299)&amp;" дн.",IF(F299=TODAY(),"Сегодня",IF(F299=TODAY()+1,"Завтра","Через "&amp;(F299-TODAY())&amp;" дн.")))))</f>
        <v/>
      </c>
    </row>
    <row r="300" customFormat="false" ht="21.75" hidden="false" customHeight="true" outlineLevel="0" collapsed="false">
      <c r="A300" s="12"/>
      <c r="B300" s="12"/>
      <c r="C300" s="13"/>
      <c r="D300" s="13"/>
      <c r="E300" s="14"/>
      <c r="F300" s="14"/>
      <c r="G300" s="13"/>
      <c r="H300" s="13"/>
      <c r="I300" s="12"/>
      <c r="J300" s="15" t="str">
        <f aca="true">IF(OR(A300="",D300="Выполнено"),"",IF(F300="",IF(AND(G300&lt;&gt;"",G300&lt;&gt;"Разово"),"↻ "&amp;G300,""),IF(F300&lt;TODAY(),"Просрочено на "&amp;(TODAY()-F300)&amp;" дн.",IF(F300=TODAY(),"Сегодня",IF(F300=TODAY()+1,"Завтра","Через "&amp;(F300-TODAY())&amp;" дн.")))))</f>
        <v/>
      </c>
    </row>
    <row r="301" customFormat="false" ht="21.75" hidden="false" customHeight="true" outlineLevel="0" collapsed="false">
      <c r="A301" s="12"/>
      <c r="B301" s="12"/>
      <c r="C301" s="13"/>
      <c r="D301" s="13"/>
      <c r="E301" s="14"/>
      <c r="F301" s="14"/>
      <c r="G301" s="13"/>
      <c r="H301" s="13"/>
      <c r="I301" s="12"/>
      <c r="J301" s="15" t="str">
        <f aca="true">IF(OR(A301="",D301="Выполнено"),"",IF(F301="",IF(AND(G301&lt;&gt;"",G301&lt;&gt;"Разово"),"↻ "&amp;G301,""),IF(F301&lt;TODAY(),"Просрочено на "&amp;(TODAY()-F301)&amp;" дн.",IF(F301=TODAY(),"Сегодня",IF(F301=TODAY()+1,"Завтра","Через "&amp;(F301-TODAY())&amp;" дн.")))))</f>
        <v/>
      </c>
    </row>
    <row r="302" customFormat="false" ht="21.75" hidden="false" customHeight="true" outlineLevel="0" collapsed="false">
      <c r="A302" s="12"/>
      <c r="B302" s="12"/>
      <c r="C302" s="13"/>
      <c r="D302" s="13"/>
      <c r="E302" s="14"/>
      <c r="F302" s="14"/>
      <c r="G302" s="13"/>
      <c r="H302" s="13"/>
      <c r="I302" s="12"/>
      <c r="J302" s="15" t="str">
        <f aca="true">IF(OR(A302="",D302="Выполнено"),"",IF(F302="",IF(AND(G302&lt;&gt;"",G302&lt;&gt;"Разово"),"↻ "&amp;G302,""),IF(F302&lt;TODAY(),"Просрочено на "&amp;(TODAY()-F302)&amp;" дн.",IF(F302=TODAY(),"Сегодня",IF(F302=TODAY()+1,"Завтра","Через "&amp;(F302-TODAY())&amp;" дн.")))))</f>
        <v/>
      </c>
    </row>
    <row r="303" customFormat="false" ht="21.75" hidden="false" customHeight="true" outlineLevel="0" collapsed="false">
      <c r="A303" s="12"/>
      <c r="B303" s="12"/>
      <c r="C303" s="13"/>
      <c r="D303" s="13"/>
      <c r="E303" s="14"/>
      <c r="F303" s="14"/>
      <c r="G303" s="13"/>
      <c r="H303" s="13"/>
      <c r="I303" s="12"/>
      <c r="J303" s="15" t="str">
        <f aca="true">IF(OR(A303="",D303="Выполнено"),"",IF(F303="",IF(AND(G303&lt;&gt;"",G303&lt;&gt;"Разово"),"↻ "&amp;G303,""),IF(F303&lt;TODAY(),"Просрочено на "&amp;(TODAY()-F303)&amp;" дн.",IF(F303=TODAY(),"Сегодня",IF(F303=TODAY()+1,"Завтра","Через "&amp;(F303-TODAY())&amp;" дн.")))))</f>
        <v/>
      </c>
    </row>
    <row r="304" customFormat="false" ht="21.75" hidden="false" customHeight="true" outlineLevel="0" collapsed="false">
      <c r="A304" s="12"/>
      <c r="B304" s="12"/>
      <c r="C304" s="13"/>
      <c r="D304" s="13"/>
      <c r="E304" s="14"/>
      <c r="F304" s="14"/>
      <c r="G304" s="13"/>
      <c r="H304" s="13"/>
      <c r="I304" s="12"/>
      <c r="J304" s="15" t="str">
        <f aca="true">IF(OR(A304="",D304="Выполнено"),"",IF(F304="",IF(AND(G304&lt;&gt;"",G304&lt;&gt;"Разово"),"↻ "&amp;G304,""),IF(F304&lt;TODAY(),"Просрочено на "&amp;(TODAY()-F304)&amp;" дн.",IF(F304=TODAY(),"Сегодня",IF(F304=TODAY()+1,"Завтра","Через "&amp;(F304-TODAY())&amp;" дн.")))))</f>
        <v/>
      </c>
    </row>
    <row r="305" customFormat="false" ht="21.75" hidden="false" customHeight="true" outlineLevel="0" collapsed="false">
      <c r="A305" s="12"/>
      <c r="B305" s="12"/>
      <c r="C305" s="13"/>
      <c r="D305" s="13"/>
      <c r="E305" s="14"/>
      <c r="F305" s="14"/>
      <c r="G305" s="13"/>
      <c r="H305" s="13"/>
      <c r="I305" s="12"/>
      <c r="J305" s="15" t="str">
        <f aca="true">IF(OR(A305="",D305="Выполнено"),"",IF(F305="",IF(AND(G305&lt;&gt;"",G305&lt;&gt;"Разово"),"↻ "&amp;G305,""),IF(F305&lt;TODAY(),"Просрочено на "&amp;(TODAY()-F305)&amp;" дн.",IF(F305=TODAY(),"Сегодня",IF(F305=TODAY()+1,"Завтра","Через "&amp;(F305-TODAY())&amp;" дн.")))))</f>
        <v/>
      </c>
    </row>
    <row r="306" customFormat="false" ht="21.75" hidden="false" customHeight="true" outlineLevel="0" collapsed="false">
      <c r="A306" s="12"/>
      <c r="B306" s="12"/>
      <c r="C306" s="13"/>
      <c r="D306" s="13"/>
      <c r="E306" s="14"/>
      <c r="F306" s="14"/>
      <c r="G306" s="13"/>
      <c r="H306" s="13"/>
      <c r="I306" s="12"/>
      <c r="J306" s="15" t="str">
        <f aca="true">IF(OR(A306="",D306="Выполнено"),"",IF(F306="",IF(AND(G306&lt;&gt;"",G306&lt;&gt;"Разово"),"↻ "&amp;G306,""),IF(F306&lt;TODAY(),"Просрочено на "&amp;(TODAY()-F306)&amp;" дн.",IF(F306=TODAY(),"Сегодня",IF(F306=TODAY()+1,"Завтра","Через "&amp;(F306-TODAY())&amp;" дн.")))))</f>
        <v/>
      </c>
    </row>
  </sheetData>
  <autoFilter ref="A6:J306"/>
  <conditionalFormatting sqref="A7:J306">
    <cfRule type="expression" priority="2" aboveAverage="0" equalAverage="0" bottom="0" percent="0" rank="0" text="" dxfId="18">
      <formula>$D7="Выполнено"</formula>
    </cfRule>
    <cfRule type="expression" priority="3" aboveAverage="0" equalAverage="0" bottom="0" percent="0" rank="0" text="" dxfId="19">
      <formula>AND($A7&lt;&gt;"",$F7&lt;&gt;"",$F7&lt;TODAY(),$D7&lt;&gt;"Выполнено")</formula>
    </cfRule>
  </conditionalFormatting>
  <conditionalFormatting sqref="F7:F306">
    <cfRule type="expression" priority="4" aboveAverage="0" equalAverage="0" bottom="0" percent="0" rank="0" text="" dxfId="20">
      <formula>AND($A7&lt;&gt;"",$F7&lt;&gt;"",$F7&lt;TODAY(),$D7&lt;&gt;"Выполнено")</formula>
    </cfRule>
    <cfRule type="expression" priority="5" aboveAverage="0" equalAverage="0" bottom="0" percent="0" rank="0" text="" dxfId="21">
      <formula>AND($A7&lt;&gt;"",$F7&lt;&gt;"",$F7&gt;=TODAY(),$F7&lt;=TODAY()+1,$D7&lt;&gt;"Выполнено")</formula>
    </cfRule>
  </conditionalFormatting>
  <conditionalFormatting sqref="J7:J306">
    <cfRule type="expression" priority="6" aboveAverage="0" equalAverage="0" bottom="0" percent="0" rank="0" text="" dxfId="20">
      <formula>AND($A7&lt;&gt;"",$F7&lt;&gt;"",$F7&lt;TODAY(),$D7&lt;&gt;"Выполнено")</formula>
    </cfRule>
  </conditionalFormatting>
  <conditionalFormatting sqref="C7:C306">
    <cfRule type="expression" priority="7" aboveAverage="0" equalAverage="0" bottom="0" percent="0" rank="0" text="" dxfId="22">
      <formula>$C7="Срочно"</formula>
    </cfRule>
    <cfRule type="expression" priority="8" aboveAverage="0" equalAverage="0" bottom="0" percent="0" rank="0" text="" dxfId="23">
      <formula>$C7="Высокий"</formula>
    </cfRule>
    <cfRule type="expression" priority="9" aboveAverage="0" equalAverage="0" bottom="0" percent="0" rank="0" text="" dxfId="24">
      <formula>$C7="Средний"</formula>
    </cfRule>
    <cfRule type="expression" priority="10" aboveAverage="0" equalAverage="0" bottom="0" percent="0" rank="0" text="" dxfId="25">
      <formula>$C7="Низкий"</formula>
    </cfRule>
  </conditionalFormatting>
  <conditionalFormatting sqref="D7:D306">
    <cfRule type="expression" priority="11" aboveAverage="0" equalAverage="0" bottom="0" percent="0" rank="0" text="" dxfId="26">
      <formula>$D7="В работе"</formula>
    </cfRule>
    <cfRule type="expression" priority="12" aboveAverage="0" equalAverage="0" bottom="0" percent="0" rank="0" text="" dxfId="24">
      <formula>$D7="Ожидает"</formula>
    </cfRule>
    <cfRule type="expression" priority="13" aboveAverage="0" equalAverage="0" bottom="0" percent="0" rank="0" text="" dxfId="27">
      <formula>$D7="Отложено"</formula>
    </cfRule>
  </conditionalFormatting>
  <dataValidations count="6">
    <dataValidation allowBlank="true" errorStyle="stop" errorTitle="Выбор" operator="between" showDropDown="false" showErrorMessage="false" showInputMessage="false" sqref="B7:B306" type="list">
      <formula1>"Промбаза,Промбаза / маркетинг,Найм,Подгузники / маркетинг,Управление,Продажи / управление,Недвижимость,Оптовка"</formula1>
      <formula2>0</formula2>
    </dataValidation>
    <dataValidation allowBlank="true" error="Выберите из списка" errorStyle="stop" errorTitle="Выбор" operator="between" showDropDown="false" showErrorMessage="true" showInputMessage="false" sqref="C7:C306" type="list">
      <formula1>"Срочно,Высокий,Средний,Низкий"</formula1>
      <formula2>0</formula2>
    </dataValidation>
    <dataValidation allowBlank="true" error="Выберите из списка" errorStyle="stop" errorTitle="Выбор" operator="between" showDropDown="false" showErrorMessage="true" showInputMessage="false" sqref="D7:D306" type="list">
      <formula1>"Не начато,В работе,Ожидает,Отложено,Выполнено"</formula1>
      <formula2>0</formula2>
    </dataValidation>
    <dataValidation allowBlank="true" error="Выберите из списка" errorStyle="stop" errorTitle="Выбор" operator="between" showDropDown="false" showErrorMessage="true" showInputMessage="false" sqref="G7:G306" type="list">
      <formula1>"Разово,Ежедневно,Еженедельно,Ежемесячно"</formula1>
      <formula2>0</formula2>
    </dataValidation>
    <dataValidation allowBlank="true" errorStyle="stop" errorTitle="Выбор" operator="between" showDropDown="false" showErrorMessage="false" showInputMessage="false" sqref="H7:H306" type="list">
      <formula1>"15 мин,20–30 мин,30 мин,30–45 мин,45 мин,1 час,1–2 часа,2–3 часа,Полдня,Весь день"</formula1>
      <formula2>0</formula2>
    </dataValidation>
    <dataValidation allowBlank="true" error="Введите дату, например 15.10.2026" errorStyle="stop" errorTitle="Дата" operator="greaterThan" showDropDown="false" showErrorMessage="true" showInputMessage="false" sqref="E7:F306" type="date">
      <formula1>43831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2026-10-06T19:42:34Z</dcterms:created>
  <dc:creator>openpyxl</dc:creator>
  <dc:description/>
  <dc:language>en-US</dc:language>
  <cp:lastModifiedBy/>
  <dcterms:modified xsi:type="dcterms:W3CDTF">2026-10-06T19:42:35Z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