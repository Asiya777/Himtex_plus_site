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Главная" sheetId="1" state="visible" r:id="rId3"/>
    <sheet name="Задачи" sheetId="2" state="visible" r:id="rId4"/>
    <sheet name="Выполненные" sheetId="3" state="visible" r:id="rId5"/>
    <sheet name="Справочники" sheetId="4" state="visible" r:id="rId6"/>
    <sheet name="Инструкция" sheetId="5" state="visible" r:id="rId7"/>
  </sheets>
  <definedNames>
    <definedName function="false" hidden="true" localSheetId="2" name="_xlnm._FilterDatabase" vbProcedure="false">Выполненные!$A$4:$H$505</definedName>
    <definedName function="false" hidden="true" localSheetId="1" name="_xlnm._FilterDatabase" vbProcedure="false">Задачи!$A$1:$K$501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<sst xmlns="http://schemas.openxmlformats.org/spreadsheetml/2006/main" count="344" uniqueCount="146">
  <si>
    <t xml:space="preserve">КОНТРОЛЬ РАБОЧИХ ЗАДАЧ</t>
  </si>
  <si>
    <t xml:space="preserve">Сегодня:</t>
  </si>
  <si>
    <t xml:space="preserve">Данные вводите на листе «Задачи» — всё остальное обновляется само.</t>
  </si>
  <si>
    <t xml:space="preserve">СВОДКА</t>
  </si>
  <si>
    <t xml:space="preserve">ФИЛЬТР СПИСКОВ НИЖЕ</t>
  </si>
  <si>
    <t xml:space="preserve">Всего активных задач</t>
  </si>
  <si>
    <t xml:space="preserve">Категория</t>
  </si>
  <si>
    <t xml:space="preserve">Все</t>
  </si>
  <si>
    <t xml:space="preserve">Срочных (приоритет «Срочно»)</t>
  </si>
  <si>
    <t xml:space="preserve">Приоритет</t>
  </si>
  <si>
    <t xml:space="preserve">Просрочено</t>
  </si>
  <si>
    <t xml:space="preserve">Срок в ближайшие 3 дня</t>
  </si>
  <si>
    <t xml:space="preserve">Как распределяются задачи:</t>
  </si>
  <si>
    <t xml:space="preserve">В работе</t>
  </si>
  <si>
    <t xml:space="preserve">• Срочные — приоритет «Срочно», срок сегодня или просрочен</t>
  </si>
  <si>
    <t xml:space="preserve">Ожидают</t>
  </si>
  <si>
    <t xml:space="preserve">• Плановые — «Отложено», приоритет «Низкий» или срок далее чем через 7 дней</t>
  </si>
  <si>
    <t xml:space="preserve">Выполнено</t>
  </si>
  <si>
    <t xml:space="preserve">• Текущие — всё остальное; «Выполнено» уходит в отдельный лист</t>
  </si>
  <si>
    <t xml:space="preserve">Задача</t>
  </si>
  <si>
    <t xml:space="preserve">Статус</t>
  </si>
  <si>
    <t xml:space="preserve">Срок</t>
  </si>
  <si>
    <t xml:space="preserve">Осталось</t>
  </si>
  <si>
    <t xml:space="preserve">Комментарий / результат</t>
  </si>
  <si>
    <t xml:space="preserve">Стр.</t>
  </si>
  <si>
    <t xml:space="preserve">Выполненные задачи автоматически попадают на лист «Выполненные».</t>
  </si>
  <si>
    <t xml:space="preserve">Дата постановки</t>
  </si>
  <si>
    <t xml:space="preserve">Повтор</t>
  </si>
  <si>
    <t xml:space="preserve">Время</t>
  </si>
  <si>
    <t xml:space="preserve">Блок (авто)</t>
  </si>
  <si>
    <t xml:space="preserve">Срок: осталось (авто)</t>
  </si>
  <si>
    <t xml:space="preserve">Ключ</t>
  </si>
  <si>
    <t xml:space="preserve">Срочные</t>
  </si>
  <si>
    <t xml:space="preserve">Текущие</t>
  </si>
  <si>
    <t xml:space="preserve">Плановые</t>
  </si>
  <si>
    <t xml:space="preserve">Проверить и улучшить объявление промбазы на Krisha.kz</t>
  </si>
  <si>
    <t xml:space="preserve">Промбаза</t>
  </si>
  <si>
    <t xml:space="preserve">Высокий</t>
  </si>
  <si>
    <t xml:space="preserve">Еженедельно</t>
  </si>
  <si>
    <t xml:space="preserve">30 мин</t>
  </si>
  <si>
    <t xml:space="preserve">Разместить / обновить объявление на Krisha.kz по промбазе / по Таргету</t>
  </si>
  <si>
    <t xml:space="preserve">Разово</t>
  </si>
  <si>
    <t xml:space="preserve">30–45 мин</t>
  </si>
  <si>
    <t xml:space="preserve">Контролировать таргет по промбазе: заявки, стоимость лида, качество обращений</t>
  </si>
  <si>
    <t xml:space="preserve">Промбаза / маркетинг</t>
  </si>
  <si>
    <t xml:space="preserve">Ежедневно</t>
  </si>
  <si>
    <t xml:space="preserve">20–30 мин</t>
  </si>
  <si>
    <t xml:space="preserve">Поиск сотрудника — приёмщик</t>
  </si>
  <si>
    <t xml:space="preserve">Найм</t>
  </si>
  <si>
    <t xml:space="preserve">45 мин</t>
  </si>
  <si>
    <t xml:space="preserve">подала объявление в НН, Каспи
Периодичность: ежедневно до закрытия</t>
  </si>
  <si>
    <t xml:space="preserve">Поиск SMM-специалиста</t>
  </si>
  <si>
    <t xml:space="preserve">Периодичность: ежедневно до закрытия</t>
  </si>
  <si>
    <t xml:space="preserve">Поиск торгового менеджера</t>
  </si>
  <si>
    <t xml:space="preserve">Не начато</t>
  </si>
  <si>
    <t xml:space="preserve">Шеф: 200 оклад, план на 10 млн -1% от продаж, график 6/1 , 100 тыс дорожный + обед</t>
  </si>
  <si>
    <t xml:space="preserve">Поиск регионального менеджера</t>
  </si>
  <si>
    <t xml:space="preserve">Поиск маркетолога</t>
  </si>
  <si>
    <t xml:space="preserve">ждем ответа с 12 го октября выйдет на работу</t>
  </si>
  <si>
    <t xml:space="preserve">Продвижение подгузников: идеи, контент, каналы продвижения, контроль,Посик UGS креаторов, блогеров</t>
  </si>
  <si>
    <t xml:space="preserve">Подгузники / маркетинг</t>
  </si>
  <si>
    <t xml:space="preserve">Отложено</t>
  </si>
  <si>
    <t xml:space="preserve">1 час</t>
  </si>
  <si>
    <t xml:space="preserve">совместо с маркетологом будем работать</t>
  </si>
  <si>
    <t xml:space="preserve">Закончить регламент сотрудников</t>
  </si>
  <si>
    <t xml:space="preserve">Управление</t>
  </si>
  <si>
    <t xml:space="preserve">Срочно</t>
  </si>
  <si>
    <t xml:space="preserve">1–2 часа</t>
  </si>
  <si>
    <t xml:space="preserve">в трудовом договоре указать налогии</t>
  </si>
  <si>
    <t xml:space="preserve">Закончить мотивационную систему сотрудников</t>
  </si>
  <si>
    <t xml:space="preserve">Продажи / управление</t>
  </si>
  <si>
    <t xml:space="preserve">Съездить в общежитие и снять фото/видео и зикр выставять обьяв</t>
  </si>
  <si>
    <t xml:space="preserve">Недвижимость</t>
  </si>
  <si>
    <t xml:space="preserve">Средний</t>
  </si>
  <si>
    <t xml:space="preserve">Разместить общежитие на Krisha.kz после съёмки</t>
  </si>
  <si>
    <t xml:space="preserve">Паспорт Объекта</t>
  </si>
  <si>
    <t xml:space="preserve">Оптовка</t>
  </si>
  <si>
    <t xml:space="preserve">15 мин</t>
  </si>
  <si>
    <t xml:space="preserve">Регина Улан</t>
  </si>
  <si>
    <t xml:space="preserve">Пожарная безопасность</t>
  </si>
  <si>
    <t xml:space="preserve">вопрос делегирован Улжану</t>
  </si>
  <si>
    <t xml:space="preserve">Страхование компаний ТМЦ, надо найти компании, от Гульзиры бух спросить анкету</t>
  </si>
  <si>
    <t xml:space="preserve">приедут две компании на осмотр объекта сегодня
Шеф: ждем ответ от Евразия Номад Аманат КП, до Халыка не дозвонилась</t>
  </si>
  <si>
    <t xml:space="preserve">Страхование жизни уточнить взять КП</t>
  </si>
  <si>
    <t xml:space="preserve">Даулет мырза набрать, напомнить,Улжана передать на поле</t>
  </si>
  <si>
    <t xml:space="preserve">Ожидает</t>
  </si>
  <si>
    <t xml:space="preserve">2–3 часа</t>
  </si>
  <si>
    <t xml:space="preserve">Зарегистровать компанию в портал Алеумет</t>
  </si>
  <si>
    <t xml:space="preserve">эцп,декларация о соответствии подтв соответсвия, регистрационное удостоверение, док сертификат, регистрационные дркументы, сведение о товаре цена ,все данные компании ТОО,запросить у Гульжайны,</t>
  </si>
  <si>
    <t xml:space="preserve">Решить вопрос по Алтел, сделать с компанией доп соглашение,купить тариф,заменить все старые номера</t>
  </si>
  <si>
    <t xml:space="preserve">Задача РОПу списов сотрудников графиков отправить</t>
  </si>
  <si>
    <t xml:space="preserve">Телефония взять в контроль,оплата через Гульжайны</t>
  </si>
  <si>
    <t xml:space="preserve">Договор о неразглашений конф информации, подписать всех сотрудников</t>
  </si>
  <si>
    <t xml:space="preserve">отделам отправила весь регламент жду пописи</t>
  </si>
  <si>
    <t xml:space="preserve">вторник пятница в область машины отгрузки не ездят в Основном все фуры по регионам стоят</t>
  </si>
  <si>
    <t xml:space="preserve">Продать машины грузовые, обновить все машины,машину по под 0 процентов, от3 до5  лизинг</t>
  </si>
  <si>
    <t xml:space="preserve">от 5 до 10 млн, 5 тонник груз подьем 6-8 тонн</t>
  </si>
  <si>
    <t xml:space="preserve">Светофор магазин, по ним ждем Ханни</t>
  </si>
  <si>
    <t xml:space="preserve">миграционные вопросы решить по трудоустройстве</t>
  </si>
  <si>
    <t xml:space="preserve">стационарные огнетушетели на колесах 4 шт купитьи  потсавить</t>
  </si>
  <si>
    <t xml:space="preserve">узнать у Улжан менеджера выход на Райымбек</t>
  </si>
  <si>
    <t xml:space="preserve">продать кофе машину</t>
  </si>
  <si>
    <t xml:space="preserve">водитель экспедитор и торговый</t>
  </si>
  <si>
    <t xml:space="preserve">журнал безопасности заполнить</t>
  </si>
  <si>
    <t xml:space="preserve">досконально отработать по пожаоной безопасности на чьей это ответсенности арендатор или арендодатель,говый договор запросить</t>
  </si>
  <si>
    <t xml:space="preserve">Орг структуру добить переделать</t>
  </si>
  <si>
    <t xml:space="preserve">съездить на осмотр машины и на обшежитие завтра</t>
  </si>
  <si>
    <t xml:space="preserve">короткий отчет сделать исходя от документов, контроль бухгалтерий  на аутсорсе</t>
  </si>
  <si>
    <t xml:space="preserve">разработать Кипиай исходя из возможности компании, склад, экспед</t>
  </si>
  <si>
    <t xml:space="preserve">ВЫПОЛНЕННЫЕ ЗАДАЧИ</t>
  </si>
  <si>
    <t xml:space="preserve">Список заполняется автоматически, когда на листе «Задачи» ставится статус «Выполнено». Новые — сверху.</t>
  </si>
  <si>
    <t xml:space="preserve">№</t>
  </si>
  <si>
    <t xml:space="preserve">Категории (можно дописать ниже)</t>
  </si>
  <si>
    <t xml:space="preserve">Приоритеты</t>
  </si>
  <si>
    <t xml:space="preserve">Статусы</t>
  </si>
  <si>
    <t xml:space="preserve">Настройка</t>
  </si>
  <si>
    <t xml:space="preserve">Значение</t>
  </si>
  <si>
    <t xml:space="preserve">Фильтр: категория</t>
  </si>
  <si>
    <t xml:space="preserve">Фильтр: приоритет</t>
  </si>
  <si>
    <t xml:space="preserve">Плановые = срок позже, чем через (дней)</t>
  </si>
  <si>
    <t xml:space="preserve">Низкий</t>
  </si>
  <si>
    <t xml:space="preserve">Ежемесячно</t>
  </si>
  <si>
    <t xml:space="preserve">Полдня</t>
  </si>
  <si>
    <t xml:space="preserve">Весь день</t>
  </si>
  <si>
    <t xml:space="preserve">Синий текст и жёлтая ячейка — то, что можно менять. J:K служебные (для фильтров на «Главной»).</t>
  </si>
  <si>
    <t xml:space="preserve">КАК РАБОТАТЬ С ТАБЛИЦЕЙ</t>
  </si>
  <si>
    <t xml:space="preserve">Каждый день</t>
  </si>
  <si>
    <t xml:space="preserve">1. Откройте «Главная»: сверху сводка, ниже — срочные и просроченные, текущие и плановые задачи.</t>
  </si>
  <si>
    <t xml:space="preserve">2. Чтобы добавить или изменить задачу, перейдите на лист «Задачи» и заполните следующую пустую строку. Столбцы «Блок» и «Срок: осталось» не трогайте — они считаются сами.</t>
  </si>
  <si>
    <t xml:space="preserve">3. Когда задача сделана, выберите в столбце «Статус» значение «Выполнено». Она сама уйдёт с «Главной» на лист «Выполненные» (на листе «Задачи» останется серой строкой — это общая база).</t>
  </si>
  <si>
    <t xml:space="preserve">Правила</t>
  </si>
  <si>
    <t xml:space="preserve">• Просрочено: срок раньше сегодняшней даты и статус не «Выполнено» — строка подсвечивается красным на «Задачи», срок и «Осталось» краснеют на «Главной».</t>
  </si>
  <si>
    <t xml:space="preserve">• Срочные: приоритет «Срочно», срок сегодня или просрочен. Плановые: статус «Отложено», приоритет «Низкий» или срок далее N дней (N — на листе «Справочники», по умолчанию 7).</t>
  </si>
  <si>
    <t xml:space="preserve">• Повторяющиеся задачи (Ежедневно / Еженедельно) без срока попадают в «Текущие» и показываются с пометкой ↻.</t>
  </si>
  <si>
    <t xml:space="preserve">• Задача без приоритета и без срока попадает в «Текущие» — присвойте ей приоритет, чтобы навести порядок.</t>
  </si>
  <si>
    <t xml:space="preserve">Фильтры</t>
  </si>
  <si>
    <t xml:space="preserve">• «Главная»: выберите категорию и/или приоритет в жёлтых ячейках (значение «Все» — без фильтра).</t>
  </si>
  <si>
    <t xml:space="preserve">• «Задачи» и «Выполненные»: стрелки в заголовках таблицы — по статусу, приоритету, категории, сроку, блоку. После ручной фильтрации списка нового «Выполнено» нажмите «Повторить» (Ctrl+Alt+L).</t>
  </si>
  <si>
    <t xml:space="preserve">Справочник и ёмкость</t>
  </si>
  <si>
    <t xml:space="preserve">• Новые категории дописывайте на листе «Справочники» (столбец A, синий текст) — они появятся в выпадающих списках.</t>
  </si>
  <si>
    <t xml:space="preserve">• База рассчитана на 500 задач (строки 2–501). Для большего объёма скопируйте последнюю строку формул вниз.</t>
  </si>
  <si>
    <t xml:space="preserve">Что изменено при переносе из старой таблицы</t>
  </si>
  <si>
    <t xml:space="preserve">• Статусы: «Готово» → «Выполнено»; «Ежедневный контроль» и «Поиск» → «В работе»; «На согласовании» и «Жду ответ» → «Ожидает»; пустые → «Не начато». «Отложено» сохранён.</t>
  </si>
  <si>
    <t xml:space="preserve">• «Когда делать» разделено на «Срок» (дата) и «Повтор». Относительные сроки пересчитаны от 06.10.2026: «Сегодня» = 06.10, «Завтра» = 07.10, «На этой неделе» = 09.10. Дата постановки в старой таблице не велась — столбец пуст.</t>
  </si>
  <si>
    <t xml:space="preserve">• «Результат / ссылка» и «Комментарий шефа» объединены в «Комментарий»; реплики шефа начинаются со слова «Шеф:».</t>
  </si>
  <si>
    <t xml:space="preserve">• Категории в строках, где они были пусты, проставлены по смыслу (Оптовка, Управление, Найм) — проверьте и поправьте при необходимости.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</si>
</sst>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0"/>
    <numFmt numFmtId="167" formatCode="General"/>
  </numFmts>
  <fonts count="2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A44"/>
      <name val="Arial"/>
      <family val="0"/>
      <charset val="1"/>
    </font>
    <font>
      <sz val="9"/>
      <color rgb="FF7A8696"/>
      <name val="Arial"/>
      <family val="0"/>
      <charset val="1"/>
    </font>
    <font>
      <b val="true"/>
      <sz val="10"/>
      <color rgb="FF2F4B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B38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b val="true"/>
      <sz val="10"/>
      <color rgb="FF222B38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9"/>
      <color rgb="FF7A8696"/>
      <name val="Arial"/>
      <family val="0"/>
      <charset val="1"/>
    </font>
    <font>
      <b val="true"/>
      <sz val="14"/>
      <color rgb="FF1E6B3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Calibri"/>
      <family val="2"/>
      <charset val="1"/>
    </font>
    <font>
      <b val="true"/>
      <sz val="9"/>
      <color rgb="FF4A5666"/>
      <name val="Arial"/>
      <family val="0"/>
      <charset val="1"/>
    </font>
    <font>
      <b val="true"/>
      <sz val="16"/>
      <color rgb="FF1F2A44"/>
      <name val="Arial"/>
      <family val="0"/>
      <charset val="1"/>
    </font>
    <font>
      <sz val="10"/>
      <color rgb="FF4A566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2F4B6E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2F4B6E"/>
        <bgColor rgb="FF1F4E79"/>
      </patternFill>
    </fill>
    <fill>
      <patternFill patternType="solid">
        <fgColor rgb="FFFFF8D6"/>
        <bgColor rgb="FFFFF3C9"/>
      </patternFill>
    </fill>
    <fill>
      <patternFill patternType="solid">
        <fgColor rgb="FFA33A2E"/>
        <bgColor rgb="FF9C2B22"/>
      </patternFill>
    </fill>
    <fill>
      <patternFill patternType="solid">
        <fgColor rgb="FFFBEEEC"/>
        <bgColor rgb="FFFDECEC"/>
      </patternFill>
    </fill>
    <fill>
      <patternFill patternType="solid">
        <fgColor rgb="FF2F5D8A"/>
        <bgColor rgb="FF48607A"/>
      </patternFill>
    </fill>
    <fill>
      <patternFill patternType="solid">
        <fgColor rgb="FFEAF1F8"/>
        <bgColor rgb="FFECEFF3"/>
      </patternFill>
    </fill>
    <fill>
      <patternFill patternType="solid">
        <fgColor rgb="FF5B6675"/>
        <bgColor rgb="FF5E6B7B"/>
      </patternFill>
    </fill>
    <fill>
      <patternFill patternType="solid">
        <fgColor rgb="FFEFF2F5"/>
        <bgColor rgb="FFECEFF3"/>
      </patternFill>
    </fill>
    <fill>
      <patternFill patternType="solid">
        <fgColor rgb="FF6B7F96"/>
        <bgColor rgb="FF7A8696"/>
      </patternFill>
    </fill>
    <fill>
      <patternFill patternType="solid">
        <fgColor rgb="FF5E6B7B"/>
        <bgColor rgb="FF5B6675"/>
      </patternFill>
    </fill>
    <fill>
      <patternFill patternType="solid">
        <fgColor rgb="FF8A94A3"/>
        <bgColor rgb="FF98A2B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4">
    <dxf>
      <font>
        <name val="Arial"/>
        <charset val="1"/>
        <family val="0"/>
        <b val="1"/>
        <color rgb="FFC0392B"/>
      </font>
      <border diagonalUp="false" diagonalDown="false">
        <left/>
        <right/>
        <top/>
        <bottom style="thin">
          <color rgb="FFDDE3EA"/>
        </bottom>
        <diagonal/>
      </border>
    </dxf>
    <dxf>
      <font>
        <name val="Arial"/>
        <charset val="1"/>
        <family val="0"/>
        <b val="1"/>
        <color rgb="FFB45F06"/>
      </font>
      <border diagonalUp="false" diagonalDown="false">
        <left/>
        <right/>
        <top/>
        <bottom style="thin">
          <color rgb="FFDDE3EA"/>
        </bottom>
        <diagonal/>
      </border>
    </dxf>
    <dxf>
      <font>
        <name val="Arial"/>
        <charset val="1"/>
        <family val="0"/>
        <b val="1"/>
        <color rgb="FF9C2B22"/>
      </font>
      <fill>
        <patternFill>
          <bgColor rgb="FFF6D5D1"/>
        </patternFill>
      </fill>
      <border diagonalUp="false" diagonalDown="false">
        <left/>
        <right/>
        <top/>
        <bottom style="thin">
          <color rgb="FFDDE3EA"/>
        </bottom>
        <diagonal/>
      </border>
    </dxf>
    <dxf>
      <font>
        <name val="Arial"/>
        <charset val="1"/>
        <family val="0"/>
        <color rgb="FF8A4B08"/>
      </font>
      <fill>
        <patternFill>
          <bgColor rgb="FFFBE6CC"/>
        </patternFill>
      </fill>
      <border diagonalUp="false" diagonalDown="false">
        <left/>
        <right/>
        <top/>
        <bottom style="thin">
          <color rgb="FFDDE3EA"/>
        </bottom>
        <diagonal/>
      </border>
    </dxf>
    <dxf>
      <font>
        <name val="Arial"/>
        <charset val="1"/>
        <family val="0"/>
        <color rgb="FF6B5A00"/>
      </font>
      <fill>
        <patternFill>
          <bgColor rgb="FFFFF3C9"/>
        </patternFill>
      </fill>
      <border diagonalUp="false" diagonalDown="false">
        <left/>
        <right/>
        <top/>
        <bottom style="thin">
          <color rgb="FFDDE3EA"/>
        </bottom>
        <diagonal/>
      </border>
    </dxf>
    <dxf>
      <font>
        <name val="Arial"/>
        <charset val="1"/>
        <family val="0"/>
        <color rgb="FF48607A"/>
      </font>
      <fill>
        <patternFill>
          <bgColor rgb="FFE4ECF4"/>
        </patternFill>
      </fill>
      <border diagonalUp="false" diagonalDown="false">
        <left/>
        <right/>
        <top/>
        <bottom style="thin">
          <color rgb="FFDDE3EA"/>
        </bottom>
        <diagonal/>
      </border>
    </dxf>
    <dxf>
      <font>
        <name val="Arial"/>
        <charset val="1"/>
        <family val="0"/>
        <color rgb="FF1F4E79"/>
      </font>
      <fill>
        <patternFill>
          <bgColor rgb="FFDCEAF7"/>
        </patternFill>
      </fill>
      <border diagonalUp="false" diagonalDown="false">
        <left/>
        <right/>
        <top/>
        <bottom style="thin">
          <color rgb="FFDDE3EA"/>
        </bottom>
        <diagonal/>
      </border>
    </dxf>
    <dxf>
      <font>
        <name val="Arial"/>
        <charset val="1"/>
        <family val="0"/>
        <color rgb="FF5B6675"/>
      </font>
      <fill>
        <patternFill>
          <bgColor rgb="FFECEFF3"/>
        </patternFill>
      </fill>
      <border diagonalUp="false" diagonalDown="false">
        <left/>
        <right/>
        <top/>
        <bottom style="thin">
          <color rgb="FFDDE3EA"/>
        </bottom>
        <diagonal/>
      </border>
    </dxf>
    <dxf>
      <font>
        <name val="Arial"/>
        <charset val="1"/>
        <family val="0"/>
        <color rgb="FF1E6B3A"/>
      </font>
      <fill>
        <patternFill>
          <bgColor rgb="FFDDEFE3"/>
        </patternFill>
      </fill>
      <border diagonalUp="false" diagonalDown="false">
        <left/>
        <right/>
        <top/>
        <bottom style="thin">
          <color rgb="FFDDE3EA"/>
        </bottom>
        <diagonal/>
      </border>
    </dxf>
    <dxf>
      <border diagonalUp="false" diagonalDown="false">
        <left/>
        <right/>
        <top/>
        <bottom style="thin">
          <color rgb="FFDDE3EA"/>
        </bottom>
        <diagonal/>
      </border>
    </dxf>
    <dxf>
      <fill>
        <patternFill patternType="solid">
          <fgColor rgb="FF2F4B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B38"/>
          <bgColor rgb="FF000000"/>
        </patternFill>
      </fill>
    </dxf>
    <dxf>
      <fill>
        <patternFill patternType="solid">
          <fgColor rgb="FF98A2B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6D5D1"/>
          <bgColor rgb="FF000000"/>
        </patternFill>
      </fill>
    </dxf>
    <dxf>
      <fill>
        <patternFill patternType="solid">
          <fgColor rgb="FFFBE6CC"/>
          <bgColor rgb="FF000000"/>
        </patternFill>
      </fill>
    </dxf>
    <dxf>
      <fill>
        <patternFill patternType="solid">
          <fgColor rgb="FFFFF3C9"/>
          <bgColor rgb="FF000000"/>
        </patternFill>
      </fill>
    </dxf>
    <dxf>
      <fill>
        <patternFill patternType="solid">
          <fgColor rgb="FF6B5A00"/>
          <bgColor rgb="FF000000"/>
        </patternFill>
      </fill>
    </dxf>
    <dxf>
      <fill>
        <patternFill patternType="solid">
          <fgColor rgb="FF8A4B08"/>
          <bgColor rgb="FF000000"/>
        </patternFill>
      </fill>
    </dxf>
    <dxf>
      <fill>
        <patternFill patternType="solid">
          <fgColor rgb="FF9C2B22"/>
          <bgColor rgb="FF000000"/>
        </patternFill>
      </fill>
    </dxf>
    <dxf>
      <fill>
        <patternFill patternType="solid">
          <fgColor rgb="FFDCEAF7"/>
          <bgColor rgb="FF000000"/>
        </patternFill>
      </fill>
    </dxf>
    <dxf>
      <fill>
        <patternFill patternType="solid">
          <fgColor rgb="FFECEFF3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5B6675"/>
          <bgColor rgb="FF000000"/>
        </patternFill>
      </fill>
    </dxf>
    <dxf>
      <fill>
        <patternFill patternType="solid">
          <fgColor rgb="FFB45F06"/>
          <bgColor rgb="FF000000"/>
        </patternFill>
      </fill>
    </dxf>
    <dxf>
      <fill>
        <patternFill patternType="solid">
          <fgColor rgb="FF6B7F96"/>
          <bgColor rgb="FF000000"/>
        </patternFill>
      </fill>
    </dxf>
    <dxf>
      <fill>
        <patternFill patternType="solid">
          <fgColor rgb="FF7A8696"/>
          <bgColor rgb="FF000000"/>
        </patternFill>
      </fill>
    </dxf>
    <dxf>
      <font>
        <name val="Arial"/>
        <charset val="1"/>
        <family val="0"/>
        <color rgb="FF98A2B0"/>
      </font>
    </dxf>
    <dxf>
      <fill>
        <patternFill>
          <bgColor rgb="FFFDECEC"/>
        </patternFill>
      </fill>
    </dxf>
    <dxf>
      <font>
        <name val="Arial"/>
        <charset val="1"/>
        <family val="0"/>
        <b val="1"/>
        <color rgb="FFC0392B"/>
      </font>
    </dxf>
    <dxf>
      <font>
        <name val="Arial"/>
        <charset val="1"/>
        <family val="0"/>
        <b val="1"/>
        <color rgb="FFB45F06"/>
      </font>
    </dxf>
    <dxf>
      <fill>
        <patternFill patternType="solid">
          <fgColor rgb="FF5E6B7B"/>
          <bgColor rgb="FF000000"/>
        </patternFill>
      </fill>
    </dxf>
    <dxf>
      <fill>
        <patternFill patternType="solid">
          <fgColor rgb="FF4A566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BEEEC"/>
      <rgbColor rgb="FFFF00FF"/>
      <rgbColor rgb="FF00FFFF"/>
      <rgbColor rgb="FF8A4B08"/>
      <rgbColor rgb="FF1E6B3A"/>
      <rgbColor rgb="FF000080"/>
      <rgbColor rgb="FF6B5A00"/>
      <rgbColor rgb="FF800080"/>
      <rgbColor rgb="FF1F4E79"/>
      <rgbColor rgb="FFDDE3EA"/>
      <rgbColor rgb="FF7A8696"/>
      <rgbColor rgb="FF98A2B0"/>
      <rgbColor rgb="FFA33A2E"/>
      <rgbColor rgb="FFFFF8D6"/>
      <rgbColor rgb="FFDCEAF7"/>
      <rgbColor rgb="FF660066"/>
      <rgbColor rgb="FFEFF2F5"/>
      <rgbColor rgb="FF2F5D8A"/>
      <rgbColor rgb="FFC9D1DB"/>
      <rgbColor rgb="FF000080"/>
      <rgbColor rgb="FFFF00FF"/>
      <rgbColor rgb="FFFDECEC"/>
      <rgbColor rgb="FF00FFFF"/>
      <rgbColor rgb="FF800080"/>
      <rgbColor rgb="FF800000"/>
      <rgbColor rgb="FF5B6675"/>
      <rgbColor rgb="FF0000FF"/>
      <rgbColor rgb="FF00CCFF"/>
      <rgbColor rgb="FFEAF1F8"/>
      <rgbColor rgb="FFDDEFE3"/>
      <rgbColor rgb="FFFFF3C9"/>
      <rgbColor rgb="FFE4ECF4"/>
      <rgbColor rgb="FFFBE6CC"/>
      <rgbColor rgb="FF6B7F96"/>
      <rgbColor rgb="FFF6D5D1"/>
      <rgbColor rgb="FF48607A"/>
      <rgbColor rgb="FF33CCCC"/>
      <rgbColor rgb="FF99CC00"/>
      <rgbColor rgb="FFECEFF3"/>
      <rgbColor rgb="FFFF9900"/>
      <rgbColor rgb="FFB45F06"/>
      <rgbColor rgb="FF5E6B7B"/>
      <rgbColor rgb="FF8A94A3"/>
      <rgbColor rgb="FF1F2A44"/>
      <rgbColor rgb="FF2F7D6B"/>
      <rgbColor rgb="FF003300"/>
      <rgbColor rgb="FF4A5666"/>
      <rgbColor rgb="FF9C2B22"/>
      <rgbColor rgb="FFC0392B"/>
      <rgbColor rgb="FF2F4B6E"/>
      <rgbColor rgb="FF222B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4B6E"/>
    <pageSetUpPr fitToPage="true"/>
  </sheetPr>
  <dimension ref="B1:I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0"/>
    <col collapsed="false" customWidth="true" hidden="false" outlineLevel="0" max="8" min="8" style="0" width="46"/>
    <col collapsed="false" customWidth="true" hidden="false" outlineLevel="0" max="9" min="9" style="0" width="6"/>
  </cols>
  <sheetData>
    <row r="1" customFormat="false" ht="9.75" hidden="false" customHeight="true" outlineLevel="0" collapsed="false"/>
    <row r="2" customFormat="false" ht="31.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  <c r="C3" s="3" t="n">
        <f aca="true">TODAY()</f>
        <v>46301</v>
      </c>
      <c r="E3" s="4" t="s">
        <v>2</v>
      </c>
    </row>
    <row r="5" customFormat="false" ht="15" hidden="false" customHeight="false" outlineLevel="0" collapsed="false">
      <c r="B5" s="5" t="s">
        <v>3</v>
      </c>
      <c r="C5" s="5"/>
      <c r="E5" s="5" t="s">
        <v>4</v>
      </c>
      <c r="F5" s="5"/>
      <c r="G5" s="5"/>
      <c r="H5" s="5"/>
    </row>
    <row r="6" customFormat="false" ht="21.75" hidden="false" customHeight="true" outlineLevel="0" collapsed="false">
      <c r="B6" s="6" t="s">
        <v>5</v>
      </c>
      <c r="C6" s="7" t="n">
        <f aca="false">COUNTIF(Задачи!$J$2:$J$501,"Срочные")+COUNTIF(Задачи!$J$2:$J$501,"Текущие")+COUNTIF(Задачи!$J$2:$J$501,"Плановые")</f>
        <v>29</v>
      </c>
      <c r="E6" s="8" t="s">
        <v>6</v>
      </c>
      <c r="F6" s="9" t="s">
        <v>7</v>
      </c>
      <c r="G6" s="9"/>
    </row>
    <row r="7" customFormat="false" ht="21.75" hidden="false" customHeight="true" outlineLevel="0" collapsed="false">
      <c r="B7" s="6" t="s">
        <v>8</v>
      </c>
      <c r="C7" s="10" t="n">
        <f aca="false">COUNTIFS(Задачи!$C$2:$C$501,"Срочно",Задачи!$J$2:$J$501,"Срочные")</f>
        <v>1</v>
      </c>
      <c r="E7" s="8" t="s">
        <v>9</v>
      </c>
      <c r="F7" s="9" t="s">
        <v>7</v>
      </c>
      <c r="G7" s="9"/>
    </row>
    <row r="8" customFormat="false" ht="21.75" hidden="false" customHeight="true" outlineLevel="0" collapsed="false">
      <c r="B8" s="6" t="s">
        <v>10</v>
      </c>
      <c r="C8" s="10" t="n">
        <f aca="true">SUMPRODUCT((Задачи!$J$2:$J$501&lt;&gt;"")*(Задачи!$J$2:$J$501&lt;&gt;"Выполнено")*(Задачи!$F$2:$F$501&lt;&gt;"")*(Задачи!$F$2:$F$501&lt;TODAY()))</f>
        <v>0</v>
      </c>
    </row>
    <row r="9" customFormat="false" ht="21.75" hidden="false" customHeight="true" outlineLevel="0" collapsed="false">
      <c r="B9" s="6" t="s">
        <v>11</v>
      </c>
      <c r="C9" s="7" t="n">
        <f aca="true">SUMPRODUCT((Задачи!$J$2:$J$501&lt;&gt;"")*(Задачи!$J$2:$J$501&lt;&gt;"Выполнено")*(Задачи!$F$2:$F$501&lt;&gt;"")*(Задачи!$F$2:$F$501&gt;=TODAY())*(Задачи!$F$2:$F$501&lt;=TODAY()+3))</f>
        <v>8</v>
      </c>
      <c r="E9" s="11" t="s">
        <v>12</v>
      </c>
    </row>
    <row r="10" customFormat="false" ht="21.75" hidden="false" customHeight="true" outlineLevel="0" collapsed="false">
      <c r="B10" s="6" t="s">
        <v>13</v>
      </c>
      <c r="C10" s="7" t="n">
        <f aca="false">COUNTIF(Задачи!$D$2:$D$501,"В работе")</f>
        <v>7</v>
      </c>
      <c r="E10" s="4" t="s">
        <v>14</v>
      </c>
    </row>
    <row r="11" customFormat="false" ht="21.75" hidden="false" customHeight="true" outlineLevel="0" collapsed="false">
      <c r="B11" s="6" t="s">
        <v>15</v>
      </c>
      <c r="C11" s="7" t="n">
        <f aca="false">COUNTIF(Задачи!$D$2:$D$501,"Ожидает")</f>
        <v>1</v>
      </c>
      <c r="E11" s="4" t="s">
        <v>16</v>
      </c>
    </row>
    <row r="12" customFormat="false" ht="21.75" hidden="false" customHeight="true" outlineLevel="0" collapsed="false">
      <c r="B12" s="6" t="s">
        <v>17</v>
      </c>
      <c r="C12" s="12" t="n">
        <f aca="false">COUNTIF(Задачи!$J$2:$J$501,"Выполнено")</f>
        <v>8</v>
      </c>
      <c r="E12" s="4" t="s">
        <v>18</v>
      </c>
    </row>
    <row r="14" customFormat="false" ht="24" hidden="false" customHeight="true" outlineLevel="0" collapsed="false">
      <c r="B14" s="13" t="str">
        <f aca="false">"СРОЧНЫЕ И ПРОСРОЧЕННЫЕ  ·  "&amp;COUNT(Задачи!$M$2:$M$501)&amp;IF(COUNT(Задачи!$M$2:$M$501)&gt;8,"   (показаны первые 8, остальные — на листе «Задачи»)","")</f>
        <v>СРОЧНЫЕ И ПРОСРОЧЕННЫЕ  ·  4</v>
      </c>
      <c r="C14" s="14"/>
      <c r="D14" s="14"/>
      <c r="E14" s="14"/>
      <c r="F14" s="14"/>
      <c r="G14" s="14"/>
      <c r="H14" s="14"/>
      <c r="I14" s="14"/>
    </row>
    <row r="15" customFormat="false" ht="19.5" hidden="false" customHeight="true" outlineLevel="0" collapsed="false">
      <c r="B15" s="15" t="s">
        <v>19</v>
      </c>
      <c r="C15" s="16" t="s">
        <v>6</v>
      </c>
      <c r="D15" s="16" t="s">
        <v>9</v>
      </c>
      <c r="E15" s="16" t="s">
        <v>20</v>
      </c>
      <c r="F15" s="16" t="s">
        <v>21</v>
      </c>
      <c r="G15" s="16" t="s">
        <v>22</v>
      </c>
      <c r="H15" s="16" t="s">
        <v>23</v>
      </c>
      <c r="I15" s="16" t="s">
        <v>24</v>
      </c>
    </row>
    <row r="16" customFormat="false" ht="30" hidden="false" customHeight="true" outlineLevel="0" collapsed="false">
      <c r="B16" s="17" t="str">
        <f aca="false">IF($I16="","",INDEX(Задачи!$A$1:$A$501,$I16)&amp;"")</f>
        <v>Закончить регламент сотрудников</v>
      </c>
      <c r="C16" s="17" t="str">
        <f aca="false">IF($I16="","",INDEX(Задачи!$B$1:$B$501,$I16)&amp;"")</f>
        <v>Управление</v>
      </c>
      <c r="D16" s="18" t="str">
        <f aca="false">IF($I16="","",INDEX(Задачи!$C$1:$C$501,$I16)&amp;"")</f>
        <v>Срочно</v>
      </c>
      <c r="E16" s="18" t="str">
        <f aca="false">IF($I16="","",IF(INDEX(Задачи!$D$1:$D$501,$I16)="","Не начато",INDEX(Задачи!$D$1:$D$501,$I16)))</f>
        <v>В работе</v>
      </c>
      <c r="F16" s="19" t="n">
        <f aca="false">IF($I16="","",IF(INDEX(Задачи!$F$1:$F$501,$I16)="","",INDEX(Задачи!$F$1:$F$501,$I16)))</f>
        <v>46301</v>
      </c>
      <c r="G16" s="18" t="str">
        <f aca="false">IF($I16="","",INDEX(Задачи!$K$1:$K$501,$I16)&amp;"")</f>
        <v>Сегодня</v>
      </c>
      <c r="H16" s="17" t="str">
        <f aca="false">IF($I16="","",INDEX(Задачи!$I$1:$I$501,$I16)&amp;"")</f>
        <v>в трудовом договоре указать налогии</v>
      </c>
      <c r="I16" s="20" t="n">
        <f aca="false">IFERROR(MOD(SMALL(Задачи!$M$2:$M$501,ROWS(I$16:I16)),1000),"")</f>
        <v>11</v>
      </c>
    </row>
    <row r="17" customFormat="false" ht="30" hidden="false" customHeight="true" outlineLevel="0" collapsed="false">
      <c r="B17" s="17" t="str">
        <f aca="false">IF($I17="","",INDEX(Задачи!$A$1:$A$501,$I17)&amp;"")</f>
        <v>Пожарная безопасность</v>
      </c>
      <c r="C17" s="17" t="str">
        <f aca="false">IF($I17="","",INDEX(Задачи!$B$1:$B$501,$I17)&amp;"")</f>
        <v>Оптовка</v>
      </c>
      <c r="D17" s="18" t="str">
        <f aca="false">IF($I17="","",INDEX(Задачи!$C$1:$C$501,$I17)&amp;"")</f>
        <v>Высокий</v>
      </c>
      <c r="E17" s="18" t="str">
        <f aca="false">IF($I17="","",IF(INDEX(Задачи!$D$1:$D$501,$I17)="","Не начато",INDEX(Задачи!$D$1:$D$501,$I17)))</f>
        <v>В работе</v>
      </c>
      <c r="F17" s="19" t="n">
        <f aca="false">IF($I17="","",IF(INDEX(Задачи!$F$1:$F$501,$I17)="","",INDEX(Задачи!$F$1:$F$501,$I17)))</f>
        <v>46301</v>
      </c>
      <c r="G17" s="18" t="str">
        <f aca="false">IF($I17="","",INDEX(Задачи!$K$1:$K$501,$I17)&amp;"")</f>
        <v>Сегодня</v>
      </c>
      <c r="H17" s="17" t="str">
        <f aca="false">IF($I17="","",INDEX(Задачи!$I$1:$I$501,$I17)&amp;"")</f>
        <v>вопрос делегирован Улжану</v>
      </c>
      <c r="I17" s="20" t="n">
        <f aca="false">IFERROR(MOD(SMALL(Задачи!$M$2:$M$501,ROWS(I$16:I17)),1000),"")</f>
        <v>16</v>
      </c>
    </row>
    <row r="18" customFormat="false" ht="30" hidden="false" customHeight="true" outlineLevel="0" collapsed="false">
      <c r="B18" s="17" t="str">
        <f aca="false">IF($I18="","",INDEX(Задачи!$A$1:$A$501,$I18)&amp;"")</f>
        <v>Съездить в общежитие и снять фото/видео и зикр выставять обьяв</v>
      </c>
      <c r="C18" s="17" t="str">
        <f aca="false">IF($I18="","",INDEX(Задачи!$B$1:$B$501,$I18)&amp;"")</f>
        <v>Недвижимость</v>
      </c>
      <c r="D18" s="18" t="str">
        <f aca="false">IF($I18="","",INDEX(Задачи!$C$1:$C$501,$I18)&amp;"")</f>
        <v>Средний</v>
      </c>
      <c r="E18" s="18" t="str">
        <f aca="false">IF($I18="","",IF(INDEX(Задачи!$D$1:$D$501,$I18)="","Не начато",INDEX(Задачи!$D$1:$D$501,$I18)))</f>
        <v>Не начато</v>
      </c>
      <c r="F18" s="19" t="n">
        <f aca="false">IF($I18="","",IF(INDEX(Задачи!$F$1:$F$501,$I18)="","",INDEX(Задачи!$F$1:$F$501,$I18)))</f>
        <v>46301</v>
      </c>
      <c r="G18" s="18" t="str">
        <f aca="false">IF($I18="","",INDEX(Задачи!$K$1:$K$501,$I18)&amp;"")</f>
        <v>Сегодня</v>
      </c>
      <c r="H18" s="17" t="str">
        <f aca="false">IF($I18="","",INDEX(Задачи!$I$1:$I$501,$I18)&amp;"")</f>
        <v/>
      </c>
      <c r="I18" s="20" t="n">
        <f aca="false">IFERROR(MOD(SMALL(Задачи!$M$2:$M$501,ROWS(I$16:I18)),1000),"")</f>
        <v>13</v>
      </c>
    </row>
    <row r="19" customFormat="false" ht="30" hidden="false" customHeight="true" outlineLevel="0" collapsed="false">
      <c r="B19" s="17" t="str">
        <f aca="false">IF($I19="","",INDEX(Задачи!$A$1:$A$501,$I19)&amp;"")</f>
        <v>Даулет мырза набрать, напомнить,Улжана передать на поле</v>
      </c>
      <c r="C19" s="17" t="str">
        <f aca="false">IF($I19="","",INDEX(Задачи!$B$1:$B$501,$I19)&amp;"")</f>
        <v>Оптовка</v>
      </c>
      <c r="D19" s="18" t="str">
        <f aca="false">IF($I19="","",INDEX(Задачи!$C$1:$C$501,$I19)&amp;"")</f>
        <v>Средний</v>
      </c>
      <c r="E19" s="18" t="str">
        <f aca="false">IF($I19="","",IF(INDEX(Задачи!$D$1:$D$501,$I19)="","Не начато",INDEX(Задачи!$D$1:$D$501,$I19)))</f>
        <v>Ожидает</v>
      </c>
      <c r="F19" s="19" t="n">
        <f aca="false">IF($I19="","",IF(INDEX(Задачи!$F$1:$F$501,$I19)="","",INDEX(Задачи!$F$1:$F$501,$I19)))</f>
        <v>46301</v>
      </c>
      <c r="G19" s="18" t="str">
        <f aca="false">IF($I19="","",INDEX(Задачи!$K$1:$K$501,$I19)&amp;"")</f>
        <v>Сегодня</v>
      </c>
      <c r="H19" s="17" t="str">
        <f aca="false">IF($I19="","",INDEX(Задачи!$I$1:$I$501,$I19)&amp;"")</f>
        <v/>
      </c>
      <c r="I19" s="20" t="n">
        <f aca="false">IFERROR(MOD(SMALL(Задачи!$M$2:$M$501,ROWS(I$16:I19)),1000),"")</f>
        <v>19</v>
      </c>
    </row>
    <row r="20" customFormat="false" ht="30" hidden="false" customHeight="true" outlineLevel="0" collapsed="false">
      <c r="B20" s="17" t="str">
        <f aca="false">IF($I20="","",INDEX(Задачи!$A$1:$A$501,$I20)&amp;"")</f>
        <v/>
      </c>
      <c r="C20" s="17" t="str">
        <f aca="false">IF($I20="","",INDEX(Задачи!$B$1:$B$501,$I20)&amp;"")</f>
        <v/>
      </c>
      <c r="D20" s="18" t="str">
        <f aca="false">IF($I20="","",INDEX(Задачи!$C$1:$C$501,$I20)&amp;"")</f>
        <v/>
      </c>
      <c r="E20" s="18" t="str">
        <f aca="false">IF($I20="","",IF(INDEX(Задачи!$D$1:$D$501,$I20)="","Не начато",INDEX(Задачи!$D$1:$D$501,$I20)))</f>
        <v/>
      </c>
      <c r="F20" s="19" t="str">
        <f aca="false">IF($I20="","",IF(INDEX(Задачи!$F$1:$F$501,$I20)="","",INDEX(Задачи!$F$1:$F$501,$I20)))</f>
        <v/>
      </c>
      <c r="G20" s="18" t="str">
        <f aca="false">IF($I20="","",INDEX(Задачи!$K$1:$K$501,$I20)&amp;"")</f>
        <v/>
      </c>
      <c r="H20" s="17" t="str">
        <f aca="false">IF($I20="","",INDEX(Задачи!$I$1:$I$501,$I20)&amp;"")</f>
        <v/>
      </c>
      <c r="I20" s="20" t="str">
        <f aca="false">IFERROR(MOD(SMALL(Задачи!$M$2:$M$501,ROWS(I$16:I20)),1000),"")</f>
        <v/>
      </c>
    </row>
    <row r="21" customFormat="false" ht="30" hidden="false" customHeight="true" outlineLevel="0" collapsed="false">
      <c r="B21" s="17" t="str">
        <f aca="false">IF($I21="","",INDEX(Задачи!$A$1:$A$501,$I21)&amp;"")</f>
        <v/>
      </c>
      <c r="C21" s="17" t="str">
        <f aca="false">IF($I21="","",INDEX(Задачи!$B$1:$B$501,$I21)&amp;"")</f>
        <v/>
      </c>
      <c r="D21" s="18" t="str">
        <f aca="false">IF($I21="","",INDEX(Задачи!$C$1:$C$501,$I21)&amp;"")</f>
        <v/>
      </c>
      <c r="E21" s="18" t="str">
        <f aca="false">IF($I21="","",IF(INDEX(Задачи!$D$1:$D$501,$I21)="","Не начато",INDEX(Задачи!$D$1:$D$501,$I21)))</f>
        <v/>
      </c>
      <c r="F21" s="19" t="str">
        <f aca="false">IF($I21="","",IF(INDEX(Задачи!$F$1:$F$501,$I21)="","",INDEX(Задачи!$F$1:$F$501,$I21)))</f>
        <v/>
      </c>
      <c r="G21" s="18" t="str">
        <f aca="false">IF($I21="","",INDEX(Задачи!$K$1:$K$501,$I21)&amp;"")</f>
        <v/>
      </c>
      <c r="H21" s="17" t="str">
        <f aca="false">IF($I21="","",INDEX(Задачи!$I$1:$I$501,$I21)&amp;"")</f>
        <v/>
      </c>
      <c r="I21" s="20" t="str">
        <f aca="false">IFERROR(MOD(SMALL(Задачи!$M$2:$M$501,ROWS(I$16:I21)),1000),"")</f>
        <v/>
      </c>
    </row>
    <row r="22" customFormat="false" ht="30" hidden="false" customHeight="true" outlineLevel="0" collapsed="false">
      <c r="B22" s="17" t="str">
        <f aca="false">IF($I22="","",INDEX(Задачи!$A$1:$A$501,$I22)&amp;"")</f>
        <v/>
      </c>
      <c r="C22" s="17" t="str">
        <f aca="false">IF($I22="","",INDEX(Задачи!$B$1:$B$501,$I22)&amp;"")</f>
        <v/>
      </c>
      <c r="D22" s="18" t="str">
        <f aca="false">IF($I22="","",INDEX(Задачи!$C$1:$C$501,$I22)&amp;"")</f>
        <v/>
      </c>
      <c r="E22" s="18" t="str">
        <f aca="false">IF($I22="","",IF(INDEX(Задачи!$D$1:$D$501,$I22)="","Не начато",INDEX(Задачи!$D$1:$D$501,$I22)))</f>
        <v/>
      </c>
      <c r="F22" s="19" t="str">
        <f aca="false">IF($I22="","",IF(INDEX(Задачи!$F$1:$F$501,$I22)="","",INDEX(Задачи!$F$1:$F$501,$I22)))</f>
        <v/>
      </c>
      <c r="G22" s="18" t="str">
        <f aca="false">IF($I22="","",INDEX(Задачи!$K$1:$K$501,$I22)&amp;"")</f>
        <v/>
      </c>
      <c r="H22" s="17" t="str">
        <f aca="false">IF($I22="","",INDEX(Задачи!$I$1:$I$501,$I22)&amp;"")</f>
        <v/>
      </c>
      <c r="I22" s="20" t="str">
        <f aca="false">IFERROR(MOD(SMALL(Задачи!$M$2:$M$501,ROWS(I$16:I22)),1000),"")</f>
        <v/>
      </c>
    </row>
    <row r="23" customFormat="false" ht="30" hidden="false" customHeight="true" outlineLevel="0" collapsed="false">
      <c r="B23" s="17" t="str">
        <f aca="false">IF($I23="","",INDEX(Задачи!$A$1:$A$501,$I23)&amp;"")</f>
        <v/>
      </c>
      <c r="C23" s="17" t="str">
        <f aca="false">IF($I23="","",INDEX(Задачи!$B$1:$B$501,$I23)&amp;"")</f>
        <v/>
      </c>
      <c r="D23" s="18" t="str">
        <f aca="false">IF($I23="","",INDEX(Задачи!$C$1:$C$501,$I23)&amp;"")</f>
        <v/>
      </c>
      <c r="E23" s="18" t="str">
        <f aca="false">IF($I23="","",IF(INDEX(Задачи!$D$1:$D$501,$I23)="","Не начато",INDEX(Задачи!$D$1:$D$501,$I23)))</f>
        <v/>
      </c>
      <c r="F23" s="19" t="str">
        <f aca="false">IF($I23="","",IF(INDEX(Задачи!$F$1:$F$501,$I23)="","",INDEX(Задачи!$F$1:$F$501,$I23)))</f>
        <v/>
      </c>
      <c r="G23" s="18" t="str">
        <f aca="false">IF($I23="","",INDEX(Задачи!$K$1:$K$501,$I23)&amp;"")</f>
        <v/>
      </c>
      <c r="H23" s="17" t="str">
        <f aca="false">IF($I23="","",INDEX(Задачи!$I$1:$I$501,$I23)&amp;"")</f>
        <v/>
      </c>
      <c r="I23" s="20" t="str">
        <f aca="false">IFERROR(MOD(SMALL(Задачи!$M$2:$M$501,ROWS(I$16:I23)),1000),"")</f>
        <v/>
      </c>
    </row>
    <row r="25" customFormat="false" ht="24" hidden="false" customHeight="true" outlineLevel="0" collapsed="false">
      <c r="B25" s="21" t="str">
        <f aca="false">"ТЕКУЩИЕ  ·  "&amp;COUNT(Задачи!$N$2:$N$501)&amp;IF(COUNT(Задачи!$N$2:$N$501)&gt;28,"   (показаны первые 28, остальные — на листе «Задачи»)","")</f>
        <v>ТЕКУЩИЕ  ·  22</v>
      </c>
      <c r="C25" s="22"/>
      <c r="D25" s="22"/>
      <c r="E25" s="22"/>
      <c r="F25" s="22"/>
      <c r="G25" s="22"/>
      <c r="H25" s="22"/>
      <c r="I25" s="22"/>
    </row>
    <row r="26" customFormat="false" ht="19.5" hidden="false" customHeight="true" outlineLevel="0" collapsed="false">
      <c r="B26" s="23" t="s">
        <v>19</v>
      </c>
      <c r="C26" s="24" t="s">
        <v>6</v>
      </c>
      <c r="D26" s="24" t="s">
        <v>9</v>
      </c>
      <c r="E26" s="24" t="s">
        <v>20</v>
      </c>
      <c r="F26" s="24" t="s">
        <v>21</v>
      </c>
      <c r="G26" s="24" t="s">
        <v>22</v>
      </c>
      <c r="H26" s="24" t="s">
        <v>23</v>
      </c>
      <c r="I26" s="24" t="s">
        <v>24</v>
      </c>
    </row>
    <row r="27" customFormat="false" ht="30" hidden="false" customHeight="true" outlineLevel="0" collapsed="false">
      <c r="B27" s="17" t="str">
        <f aca="false">IF($I27="","",INDEX(Задачи!$A$1:$A$501,$I27)&amp;"")</f>
        <v>Договор о неразглашений конф информации, подписать всех сотрудников</v>
      </c>
      <c r="C27" s="17" t="str">
        <f aca="false">IF($I27="","",INDEX(Задачи!$B$1:$B$501,$I27)&amp;"")</f>
        <v>Управление</v>
      </c>
      <c r="D27" s="18" t="str">
        <f aca="false">IF($I27="","",INDEX(Задачи!$C$1:$C$501,$I27)&amp;"")</f>
        <v>Высокий</v>
      </c>
      <c r="E27" s="18" t="str">
        <f aca="false">IF($I27="","",IF(INDEX(Задачи!$D$1:$D$501,$I27)="","Не начато",INDEX(Задачи!$D$1:$D$501,$I27)))</f>
        <v>В работе</v>
      </c>
      <c r="F27" s="19" t="n">
        <f aca="false">IF($I27="","",IF(INDEX(Задачи!$F$1:$F$501,$I27)="","",INDEX(Задачи!$F$1:$F$501,$I27)))</f>
        <v>46302</v>
      </c>
      <c r="G27" s="18" t="str">
        <f aca="false">IF($I27="","",INDEX(Задачи!$K$1:$K$501,$I27)&amp;"")</f>
        <v>Завтра</v>
      </c>
      <c r="H27" s="17" t="str">
        <f aca="false">IF($I27="","",INDEX(Задачи!$I$1:$I$501,$I27)&amp;"")</f>
        <v>отделам отправила весь регламент жду пописи</v>
      </c>
      <c r="I27" s="20" t="n">
        <f aca="false">IFERROR(MOD(SMALL(Задачи!$N$2:$N$501,ROWS(I$27:I27)),1000),"")</f>
        <v>24</v>
      </c>
    </row>
    <row r="28" customFormat="false" ht="30" hidden="false" customHeight="true" outlineLevel="0" collapsed="false">
      <c r="B28" s="17" t="str">
        <f aca="false">IF($I28="","",INDEX(Задачи!$A$1:$A$501,$I28)&amp;"")</f>
        <v>Зарегистровать компанию в портал Алеумет</v>
      </c>
      <c r="C28" s="17" t="str">
        <f aca="false">IF($I28="","",INDEX(Задачи!$B$1:$B$501,$I28)&amp;"")</f>
        <v>Подгузники / маркетинг</v>
      </c>
      <c r="D28" s="18" t="str">
        <f aca="false">IF($I28="","",INDEX(Задачи!$C$1:$C$501,$I28)&amp;"")</f>
        <v>Высокий</v>
      </c>
      <c r="E28" s="18" t="str">
        <f aca="false">IF($I28="","",IF(INDEX(Задачи!$D$1:$D$501,$I28)="","Не начато",INDEX(Задачи!$D$1:$D$501,$I28)))</f>
        <v>Не начато</v>
      </c>
      <c r="F28" s="19" t="n">
        <f aca="false">IF($I28="","",IF(INDEX(Задачи!$F$1:$F$501,$I28)="","",INDEX(Задачи!$F$1:$F$501,$I28)))</f>
        <v>46304</v>
      </c>
      <c r="G28" s="18" t="str">
        <f aca="false">IF($I28="","",INDEX(Задачи!$K$1:$K$501,$I28)&amp;"")</f>
        <v>Через 3 дн.</v>
      </c>
      <c r="H28" s="17" t="str">
        <f aca="false">IF($I28="","",INDEX(Задачи!$I$1:$I$501,$I28)&amp;"")</f>
        <v>эцп,декларация о соответствии подтв соответсвия, регистрационное удостоверение, док сертификат, регистрационные дркументы, сведение о товаре цена ,все данные компании ТОО,запросить у Гульжайны,</v>
      </c>
      <c r="I28" s="20" t="n">
        <f aca="false">IFERROR(MOD(SMALL(Задачи!$N$2:$N$501,ROWS(I$27:I28)),1000),"")</f>
        <v>20</v>
      </c>
    </row>
    <row r="29" customFormat="false" ht="30" hidden="false" customHeight="true" outlineLevel="0" collapsed="false">
      <c r="B29" s="17" t="str">
        <f aca="false">IF($I29="","",INDEX(Задачи!$A$1:$A$501,$I29)&amp;"")</f>
        <v>Контролировать таргет по промбазе: заявки, стоимость лида, качество обращений</v>
      </c>
      <c r="C29" s="17" t="str">
        <f aca="false">IF($I29="","",INDEX(Задачи!$B$1:$B$501,$I29)&amp;"")</f>
        <v>Промбаза / маркетинг</v>
      </c>
      <c r="D29" s="18" t="str">
        <f aca="false">IF($I29="","",INDEX(Задачи!$C$1:$C$501,$I29)&amp;"")</f>
        <v>Высокий</v>
      </c>
      <c r="E29" s="18" t="str">
        <f aca="false">IF($I29="","",IF(INDEX(Задачи!$D$1:$D$501,$I29)="","Не начато",INDEX(Задачи!$D$1:$D$501,$I29)))</f>
        <v>В работе</v>
      </c>
      <c r="F29" s="19" t="str">
        <f aca="false">IF($I29="","",IF(INDEX(Задачи!$F$1:$F$501,$I29)="","",INDEX(Задачи!$F$1:$F$501,$I29)))</f>
        <v/>
      </c>
      <c r="G29" s="18" t="str">
        <f aca="false">IF($I29="","",INDEX(Задачи!$K$1:$K$501,$I29)&amp;"")</f>
        <v>↻ Ежедневно</v>
      </c>
      <c r="H29" s="17" t="str">
        <f aca="false">IF($I29="","",INDEX(Задачи!$I$1:$I$501,$I29)&amp;"")</f>
        <v/>
      </c>
      <c r="I29" s="20" t="n">
        <f aca="false">IFERROR(MOD(SMALL(Задачи!$N$2:$N$501,ROWS(I$27:I29)),1000),"")</f>
        <v>4</v>
      </c>
    </row>
    <row r="30" customFormat="false" ht="30" hidden="false" customHeight="true" outlineLevel="0" collapsed="false">
      <c r="B30" s="17" t="str">
        <f aca="false">IF($I30="","",INDEX(Задачи!$A$1:$A$501,$I30)&amp;"")</f>
        <v>Поиск сотрудника — приёмщик</v>
      </c>
      <c r="C30" s="17" t="str">
        <f aca="false">IF($I30="","",INDEX(Задачи!$B$1:$B$501,$I30)&amp;"")</f>
        <v>Найм</v>
      </c>
      <c r="D30" s="18" t="str">
        <f aca="false">IF($I30="","",INDEX(Задачи!$C$1:$C$501,$I30)&amp;"")</f>
        <v>Высокий</v>
      </c>
      <c r="E30" s="18" t="str">
        <f aca="false">IF($I30="","",IF(INDEX(Задачи!$D$1:$D$501,$I30)="","Не начато",INDEX(Задачи!$D$1:$D$501,$I30)))</f>
        <v>В работе</v>
      </c>
      <c r="F30" s="19" t="str">
        <f aca="false">IF($I30="","",IF(INDEX(Задачи!$F$1:$F$501,$I30)="","",INDEX(Задачи!$F$1:$F$501,$I30)))</f>
        <v/>
      </c>
      <c r="G30" s="18" t="str">
        <f aca="false">IF($I30="","",INDEX(Задачи!$K$1:$K$501,$I30)&amp;"")</f>
        <v>↻ Ежедневно</v>
      </c>
      <c r="H30" s="17" t="str">
        <f aca="false">IF($I30="","",INDEX(Задачи!$I$1:$I$501,$I30)&amp;"")</f>
        <v>подала объявление в НН, Каспи
Периодичность: ежедневно до закрытия</v>
      </c>
      <c r="I30" s="20" t="n">
        <f aca="false">IFERROR(MOD(SMALL(Задачи!$N$2:$N$501,ROWS(I$27:I30)),1000),"")</f>
        <v>5</v>
      </c>
    </row>
    <row r="31" customFormat="false" ht="30" hidden="false" customHeight="true" outlineLevel="0" collapsed="false">
      <c r="B31" s="17" t="str">
        <f aca="false">IF($I31="","",INDEX(Задачи!$A$1:$A$501,$I31)&amp;"")</f>
        <v>Поиск SMM-специалиста</v>
      </c>
      <c r="C31" s="17" t="str">
        <f aca="false">IF($I31="","",INDEX(Задачи!$B$1:$B$501,$I31)&amp;"")</f>
        <v>Найм</v>
      </c>
      <c r="D31" s="18" t="str">
        <f aca="false">IF($I31="","",INDEX(Задачи!$C$1:$C$501,$I31)&amp;"")</f>
        <v>Высокий</v>
      </c>
      <c r="E31" s="18" t="str">
        <f aca="false">IF($I31="","",IF(INDEX(Задачи!$D$1:$D$501,$I31)="","Не начато",INDEX(Задачи!$D$1:$D$501,$I31)))</f>
        <v>В работе</v>
      </c>
      <c r="F31" s="19" t="str">
        <f aca="false">IF($I31="","",IF(INDEX(Задачи!$F$1:$F$501,$I31)="","",INDEX(Задачи!$F$1:$F$501,$I31)))</f>
        <v/>
      </c>
      <c r="G31" s="18" t="str">
        <f aca="false">IF($I31="","",INDEX(Задачи!$K$1:$K$501,$I31)&amp;"")</f>
        <v>↻ Ежедневно</v>
      </c>
      <c r="H31" s="17" t="str">
        <f aca="false">IF($I31="","",INDEX(Задачи!$I$1:$I$501,$I31)&amp;"")</f>
        <v>Периодичность: ежедневно до закрытия</v>
      </c>
      <c r="I31" s="20" t="n">
        <f aca="false">IFERROR(MOD(SMALL(Задачи!$N$2:$N$501,ROWS(I$27:I31)),1000),"")</f>
        <v>6</v>
      </c>
    </row>
    <row r="32" customFormat="false" ht="30" hidden="false" customHeight="true" outlineLevel="0" collapsed="false">
      <c r="B32" s="17" t="str">
        <f aca="false">IF($I32="","",INDEX(Задачи!$A$1:$A$501,$I32)&amp;"")</f>
        <v>Поиск торгового менеджера</v>
      </c>
      <c r="C32" s="17" t="str">
        <f aca="false">IF($I32="","",INDEX(Задачи!$B$1:$B$501,$I32)&amp;"")</f>
        <v>Найм</v>
      </c>
      <c r="D32" s="18" t="str">
        <f aca="false">IF($I32="","",INDEX(Задачи!$C$1:$C$501,$I32)&amp;"")</f>
        <v>Высокий</v>
      </c>
      <c r="E32" s="18" t="str">
        <f aca="false">IF($I32="","",IF(INDEX(Задачи!$D$1:$D$501,$I32)="","Не начато",INDEX(Задачи!$D$1:$D$501,$I32)))</f>
        <v>Не начато</v>
      </c>
      <c r="F32" s="19" t="str">
        <f aca="false">IF($I32="","",IF(INDEX(Задачи!$F$1:$F$501,$I32)="","",INDEX(Задачи!$F$1:$F$501,$I32)))</f>
        <v/>
      </c>
      <c r="G32" s="18" t="str">
        <f aca="false">IF($I32="","",INDEX(Задачи!$K$1:$K$501,$I32)&amp;"")</f>
        <v>↻ Ежедневно</v>
      </c>
      <c r="H32" s="17" t="str">
        <f aca="false">IF($I32="","",INDEX(Задачи!$I$1:$I$501,$I32)&amp;"")</f>
        <v>Шеф: 200 оклад, план на 10 млн -1% от продаж, график 6/1 , 100 тыс дорожный + обед</v>
      </c>
      <c r="I32" s="20" t="n">
        <f aca="false">IFERROR(MOD(SMALL(Задачи!$N$2:$N$501,ROWS(I$27:I32)),1000),"")</f>
        <v>7</v>
      </c>
    </row>
    <row r="33" customFormat="false" ht="30" hidden="false" customHeight="true" outlineLevel="0" collapsed="false">
      <c r="B33" s="17" t="str">
        <f aca="false">IF($I33="","",INDEX(Задачи!$A$1:$A$501,$I33)&amp;"")</f>
        <v>Поиск регионального менеджера</v>
      </c>
      <c r="C33" s="17" t="str">
        <f aca="false">IF($I33="","",INDEX(Задачи!$B$1:$B$501,$I33)&amp;"")</f>
        <v>Найм</v>
      </c>
      <c r="D33" s="18" t="str">
        <f aca="false">IF($I33="","",INDEX(Задачи!$C$1:$C$501,$I33)&amp;"")</f>
        <v>Высокий</v>
      </c>
      <c r="E33" s="18" t="str">
        <f aca="false">IF($I33="","",IF(INDEX(Задачи!$D$1:$D$501,$I33)="","Не начато",INDEX(Задачи!$D$1:$D$501,$I33)))</f>
        <v>Не начато</v>
      </c>
      <c r="F33" s="19" t="str">
        <f aca="false">IF($I33="","",IF(INDEX(Задачи!$F$1:$F$501,$I33)="","",INDEX(Задачи!$F$1:$F$501,$I33)))</f>
        <v/>
      </c>
      <c r="G33" s="18" t="str">
        <f aca="false">IF($I33="","",INDEX(Задачи!$K$1:$K$501,$I33)&amp;"")</f>
        <v>↻ Ежедневно</v>
      </c>
      <c r="H33" s="17" t="str">
        <f aca="false">IF($I33="","",INDEX(Задачи!$I$1:$I$501,$I33)&amp;"")</f>
        <v>Периодичность: ежедневно до закрытия</v>
      </c>
      <c r="I33" s="20" t="n">
        <f aca="false">IFERROR(MOD(SMALL(Задачи!$N$2:$N$501,ROWS(I$27:I33)),1000),"")</f>
        <v>8</v>
      </c>
    </row>
    <row r="34" customFormat="false" ht="30" hidden="false" customHeight="true" outlineLevel="0" collapsed="false">
      <c r="B34" s="17" t="str">
        <f aca="false">IF($I34="","",INDEX(Задачи!$A$1:$A$501,$I34)&amp;"")</f>
        <v>Разместить общежитие на Krisha.kz после съёмки</v>
      </c>
      <c r="C34" s="17" t="str">
        <f aca="false">IF($I34="","",INDEX(Задачи!$B$1:$B$501,$I34)&amp;"")</f>
        <v>Недвижимость</v>
      </c>
      <c r="D34" s="18" t="str">
        <f aca="false">IF($I34="","",INDEX(Задачи!$C$1:$C$501,$I34)&amp;"")</f>
        <v>Средний</v>
      </c>
      <c r="E34" s="18" t="str">
        <f aca="false">IF($I34="","",IF(INDEX(Задачи!$D$1:$D$501,$I34)="","Не начато",INDEX(Задачи!$D$1:$D$501,$I34)))</f>
        <v>Не начато</v>
      </c>
      <c r="F34" s="19" t="n">
        <f aca="false">IF($I34="","",IF(INDEX(Задачи!$F$1:$F$501,$I34)="","",INDEX(Задачи!$F$1:$F$501,$I34)))</f>
        <v>46302</v>
      </c>
      <c r="G34" s="18" t="str">
        <f aca="false">IF($I34="","",INDEX(Задачи!$K$1:$K$501,$I34)&amp;"")</f>
        <v>Завтра</v>
      </c>
      <c r="H34" s="17" t="str">
        <f aca="false">IF($I34="","",INDEX(Задачи!$I$1:$I$501,$I34)&amp;"")</f>
        <v/>
      </c>
      <c r="I34" s="20" t="n">
        <f aca="false">IFERROR(MOD(SMALL(Задачи!$N$2:$N$501,ROWS(I$27:I34)),1000),"")</f>
        <v>14</v>
      </c>
    </row>
    <row r="35" customFormat="false" ht="30" hidden="false" customHeight="true" outlineLevel="0" collapsed="false">
      <c r="B35" s="17" t="str">
        <f aca="false">IF($I35="","",INDEX(Задачи!$A$1:$A$501,$I35)&amp;"")</f>
        <v>Паспорт Объекта</v>
      </c>
      <c r="C35" s="17" t="str">
        <f aca="false">IF($I35="","",INDEX(Задачи!$B$1:$B$501,$I35)&amp;"")</f>
        <v>Оптовка</v>
      </c>
      <c r="D35" s="18" t="str">
        <f aca="false">IF($I35="","",INDEX(Задачи!$C$1:$C$501,$I35)&amp;"")</f>
        <v>Средний</v>
      </c>
      <c r="E35" s="18" t="str">
        <f aca="false">IF($I35="","",IF(INDEX(Задачи!$D$1:$D$501,$I35)="","Не начато",INDEX(Задачи!$D$1:$D$501,$I35)))</f>
        <v>Не начато</v>
      </c>
      <c r="F35" s="19" t="n">
        <f aca="false">IF($I35="","",IF(INDEX(Задачи!$F$1:$F$501,$I35)="","",INDEX(Задачи!$F$1:$F$501,$I35)))</f>
        <v>46302</v>
      </c>
      <c r="G35" s="18" t="str">
        <f aca="false">IF($I35="","",INDEX(Задачи!$K$1:$K$501,$I35)&amp;"")</f>
        <v>Завтра</v>
      </c>
      <c r="H35" s="17" t="str">
        <f aca="false">IF($I35="","",INDEX(Задачи!$I$1:$I$501,$I35)&amp;"")</f>
        <v>Регина Улан</v>
      </c>
      <c r="I35" s="20" t="n">
        <f aca="false">IFERROR(MOD(SMALL(Задачи!$N$2:$N$501,ROWS(I$27:I35)),1000),"")</f>
        <v>15</v>
      </c>
    </row>
    <row r="36" customFormat="false" ht="30" hidden="false" customHeight="true" outlineLevel="0" collapsed="false">
      <c r="B36" s="17" t="str">
        <f aca="false">IF($I36="","",INDEX(Задачи!$A$1:$A$501,$I36)&amp;"")</f>
        <v>Продать машины грузовые, обновить все машины,машину по под 0 процентов, от3 до5  лизинг</v>
      </c>
      <c r="C36" s="17" t="str">
        <f aca="false">IF($I36="","",INDEX(Задачи!$B$1:$B$501,$I36)&amp;"")</f>
        <v>Управление</v>
      </c>
      <c r="D36" s="18" t="str">
        <f aca="false">IF($I36="","",INDEX(Задачи!$C$1:$C$501,$I36)&amp;"")</f>
        <v>Средний</v>
      </c>
      <c r="E36" s="18" t="str">
        <f aca="false">IF($I36="","",IF(INDEX(Задачи!$D$1:$D$501,$I36)="","Не начато",INDEX(Задачи!$D$1:$D$501,$I36)))</f>
        <v>В работе</v>
      </c>
      <c r="F36" s="19" t="str">
        <f aca="false">IF($I36="","",IF(INDEX(Задачи!$F$1:$F$501,$I36)="","",INDEX(Задачи!$F$1:$F$501,$I36)))</f>
        <v/>
      </c>
      <c r="G36" s="18" t="str">
        <f aca="false">IF($I36="","",INDEX(Задачи!$K$1:$K$501,$I36)&amp;"")</f>
        <v>↻ Ежедневно</v>
      </c>
      <c r="H36" s="17" t="str">
        <f aca="false">IF($I36="","",INDEX(Задачи!$I$1:$I$501,$I36)&amp;"")</f>
        <v>от 5 до 10 млн, 5 тонник груз подьем 6-8 тонн</v>
      </c>
      <c r="I36" s="20" t="n">
        <f aca="false">IFERROR(MOD(SMALL(Задачи!$N$2:$N$501,ROWS(I$27:I36)),1000),"")</f>
        <v>26</v>
      </c>
    </row>
    <row r="37" customFormat="false" ht="30" hidden="false" customHeight="true" outlineLevel="0" collapsed="false">
      <c r="B37" s="17" t="str">
        <f aca="false">IF($I37="","",INDEX(Задачи!$A$1:$A$501,$I37)&amp;"")</f>
        <v>Страхование жизни уточнить взять КП</v>
      </c>
      <c r="C37" s="17" t="str">
        <f aca="false">IF($I37="","",INDEX(Задачи!$B$1:$B$501,$I37)&amp;"")</f>
        <v>Управление</v>
      </c>
      <c r="D37" s="18" t="str">
        <f aca="false">IF($I37="","",INDEX(Задачи!$C$1:$C$501,$I37)&amp;"")</f>
        <v/>
      </c>
      <c r="E37" s="18" t="str">
        <f aca="false">IF($I37="","",IF(INDEX(Задачи!$D$1:$D$501,$I37)="","Не начато",INDEX(Задачи!$D$1:$D$501,$I37)))</f>
        <v>Не начато</v>
      </c>
      <c r="F37" s="19" t="str">
        <f aca="false">IF($I37="","",IF(INDEX(Задачи!$F$1:$F$501,$I37)="","",INDEX(Задачи!$F$1:$F$501,$I37)))</f>
        <v/>
      </c>
      <c r="G37" s="18" t="str">
        <f aca="false">IF($I37="","",INDEX(Задачи!$K$1:$K$501,$I37)&amp;"")</f>
        <v/>
      </c>
      <c r="H37" s="17" t="str">
        <f aca="false">IF($I37="","",INDEX(Задачи!$I$1:$I$501,$I37)&amp;"")</f>
        <v/>
      </c>
      <c r="I37" s="20" t="n">
        <f aca="false">IFERROR(MOD(SMALL(Задачи!$N$2:$N$501,ROWS(I$27:I37)),1000),"")</f>
        <v>18</v>
      </c>
    </row>
    <row r="38" customFormat="false" ht="30" hidden="false" customHeight="true" outlineLevel="0" collapsed="false">
      <c r="B38" s="17" t="str">
        <f aca="false">IF($I38="","",INDEX(Задачи!$A$1:$A$501,$I38)&amp;"")</f>
        <v>вторник пятница в область машины отгрузки не ездят в Основном все фуры по регионам стоят</v>
      </c>
      <c r="C38" s="17" t="str">
        <f aca="false">IF($I38="","",INDEX(Задачи!$B$1:$B$501,$I38)&amp;"")</f>
        <v>Оптовка</v>
      </c>
      <c r="D38" s="18" t="str">
        <f aca="false">IF($I38="","",INDEX(Задачи!$C$1:$C$501,$I38)&amp;"")</f>
        <v/>
      </c>
      <c r="E38" s="18" t="str">
        <f aca="false">IF($I38="","",IF(INDEX(Задачи!$D$1:$D$501,$I38)="","Не начато",INDEX(Задачи!$D$1:$D$501,$I38)))</f>
        <v>Не начато</v>
      </c>
      <c r="F38" s="19" t="str">
        <f aca="false">IF($I38="","",IF(INDEX(Задачи!$F$1:$F$501,$I38)="","",INDEX(Задачи!$F$1:$F$501,$I38)))</f>
        <v/>
      </c>
      <c r="G38" s="18" t="str">
        <f aca="false">IF($I38="","",INDEX(Задачи!$K$1:$K$501,$I38)&amp;"")</f>
        <v/>
      </c>
      <c r="H38" s="17" t="str">
        <f aca="false">IF($I38="","",INDEX(Задачи!$I$1:$I$501,$I38)&amp;"")</f>
        <v/>
      </c>
      <c r="I38" s="20" t="n">
        <f aca="false">IFERROR(MOD(SMALL(Задачи!$N$2:$N$501,ROWS(I$27:I38)),1000),"")</f>
        <v>25</v>
      </c>
    </row>
    <row r="39" customFormat="false" ht="30" hidden="false" customHeight="true" outlineLevel="0" collapsed="false">
      <c r="B39" s="17" t="str">
        <f aca="false">IF($I39="","",INDEX(Задачи!$A$1:$A$501,$I39)&amp;"")</f>
        <v>стационарные огнетушетели на колесах 4 шт купитьи  потсавить</v>
      </c>
      <c r="C39" s="17" t="str">
        <f aca="false">IF($I39="","",INDEX(Задачи!$B$1:$B$501,$I39)&amp;"")</f>
        <v>Оптовка</v>
      </c>
      <c r="D39" s="18" t="str">
        <f aca="false">IF($I39="","",INDEX(Задачи!$C$1:$C$501,$I39)&amp;"")</f>
        <v/>
      </c>
      <c r="E39" s="18" t="str">
        <f aca="false">IF($I39="","",IF(INDEX(Задачи!$D$1:$D$501,$I39)="","Не начато",INDEX(Задачи!$D$1:$D$501,$I39)))</f>
        <v>Не начато</v>
      </c>
      <c r="F39" s="19" t="str">
        <f aca="false">IF($I39="","",IF(INDEX(Задачи!$F$1:$F$501,$I39)="","",INDEX(Задачи!$F$1:$F$501,$I39)))</f>
        <v/>
      </c>
      <c r="G39" s="18" t="str">
        <f aca="false">IF($I39="","",INDEX(Задачи!$K$1:$K$501,$I39)&amp;"")</f>
        <v/>
      </c>
      <c r="H39" s="17" t="str">
        <f aca="false">IF($I39="","",INDEX(Задачи!$I$1:$I$501,$I39)&amp;"")</f>
        <v/>
      </c>
      <c r="I39" s="20" t="n">
        <f aca="false">IFERROR(MOD(SMALL(Задачи!$N$2:$N$501,ROWS(I$27:I39)),1000),"")</f>
        <v>29</v>
      </c>
    </row>
    <row r="40" customFormat="false" ht="30" hidden="false" customHeight="true" outlineLevel="0" collapsed="false">
      <c r="B40" s="17" t="str">
        <f aca="false">IF($I40="","",INDEX(Задачи!$A$1:$A$501,$I40)&amp;"")</f>
        <v>узнать у Улжан менеджера выход на Райымбек</v>
      </c>
      <c r="C40" s="17" t="str">
        <f aca="false">IF($I40="","",INDEX(Задачи!$B$1:$B$501,$I40)&amp;"")</f>
        <v>Оптовка</v>
      </c>
      <c r="D40" s="18" t="str">
        <f aca="false">IF($I40="","",INDEX(Задачи!$C$1:$C$501,$I40)&amp;"")</f>
        <v/>
      </c>
      <c r="E40" s="18" t="str">
        <f aca="false">IF($I40="","",IF(INDEX(Задачи!$D$1:$D$501,$I40)="","Не начато",INDEX(Задачи!$D$1:$D$501,$I40)))</f>
        <v>Не начато</v>
      </c>
      <c r="F40" s="19" t="str">
        <f aca="false">IF($I40="","",IF(INDEX(Задачи!$F$1:$F$501,$I40)="","",INDEX(Задачи!$F$1:$F$501,$I40)))</f>
        <v/>
      </c>
      <c r="G40" s="18" t="str">
        <f aca="false">IF($I40="","",INDEX(Задачи!$K$1:$K$501,$I40)&amp;"")</f>
        <v/>
      </c>
      <c r="H40" s="17" t="str">
        <f aca="false">IF($I40="","",INDEX(Задачи!$I$1:$I$501,$I40)&amp;"")</f>
        <v/>
      </c>
      <c r="I40" s="20" t="n">
        <f aca="false">IFERROR(MOD(SMALL(Задачи!$N$2:$N$501,ROWS(I$27:I40)),1000),"")</f>
        <v>30</v>
      </c>
    </row>
    <row r="41" customFormat="false" ht="30" hidden="false" customHeight="true" outlineLevel="0" collapsed="false">
      <c r="B41" s="17" t="str">
        <f aca="false">IF($I41="","",INDEX(Задачи!$A$1:$A$501,$I41)&amp;"")</f>
        <v>продать кофе машину</v>
      </c>
      <c r="C41" s="17" t="str">
        <f aca="false">IF($I41="","",INDEX(Задачи!$B$1:$B$501,$I41)&amp;"")</f>
        <v>Управление</v>
      </c>
      <c r="D41" s="18" t="str">
        <f aca="false">IF($I41="","",INDEX(Задачи!$C$1:$C$501,$I41)&amp;"")</f>
        <v/>
      </c>
      <c r="E41" s="18" t="str">
        <f aca="false">IF($I41="","",IF(INDEX(Задачи!$D$1:$D$501,$I41)="","Не начато",INDEX(Задачи!$D$1:$D$501,$I41)))</f>
        <v>Не начато</v>
      </c>
      <c r="F41" s="19" t="str">
        <f aca="false">IF($I41="","",IF(INDEX(Задачи!$F$1:$F$501,$I41)="","",INDEX(Задачи!$F$1:$F$501,$I41)))</f>
        <v/>
      </c>
      <c r="G41" s="18" t="str">
        <f aca="false">IF($I41="","",INDEX(Задачи!$K$1:$K$501,$I41)&amp;"")</f>
        <v/>
      </c>
      <c r="H41" s="17" t="str">
        <f aca="false">IF($I41="","",INDEX(Задачи!$I$1:$I$501,$I41)&amp;"")</f>
        <v/>
      </c>
      <c r="I41" s="20" t="n">
        <f aca="false">IFERROR(MOD(SMALL(Задачи!$N$2:$N$501,ROWS(I$27:I41)),1000),"")</f>
        <v>31</v>
      </c>
    </row>
    <row r="42" customFormat="false" ht="30" hidden="false" customHeight="true" outlineLevel="0" collapsed="false">
      <c r="B42" s="17" t="str">
        <f aca="false">IF($I42="","",INDEX(Задачи!$A$1:$A$501,$I42)&amp;"")</f>
        <v>водитель экспедитор и торговый</v>
      </c>
      <c r="C42" s="17" t="str">
        <f aca="false">IF($I42="","",INDEX(Задачи!$B$1:$B$501,$I42)&amp;"")</f>
        <v>Найм</v>
      </c>
      <c r="D42" s="18" t="str">
        <f aca="false">IF($I42="","",INDEX(Задачи!$C$1:$C$501,$I42)&amp;"")</f>
        <v/>
      </c>
      <c r="E42" s="18" t="str">
        <f aca="false">IF($I42="","",IF(INDEX(Задачи!$D$1:$D$501,$I42)="","Не начато",INDEX(Задачи!$D$1:$D$501,$I42)))</f>
        <v>Не начато</v>
      </c>
      <c r="F42" s="19" t="str">
        <f aca="false">IF($I42="","",IF(INDEX(Задачи!$F$1:$F$501,$I42)="","",INDEX(Задачи!$F$1:$F$501,$I42)))</f>
        <v/>
      </c>
      <c r="G42" s="18" t="str">
        <f aca="false">IF($I42="","",INDEX(Задачи!$K$1:$K$501,$I42)&amp;"")</f>
        <v/>
      </c>
      <c r="H42" s="17" t="str">
        <f aca="false">IF($I42="","",INDEX(Задачи!$I$1:$I$501,$I42)&amp;"")</f>
        <v/>
      </c>
      <c r="I42" s="20" t="n">
        <f aca="false">IFERROR(MOD(SMALL(Задачи!$N$2:$N$501,ROWS(I$27:I42)),1000),"")</f>
        <v>32</v>
      </c>
    </row>
    <row r="43" customFormat="false" ht="30" hidden="false" customHeight="true" outlineLevel="0" collapsed="false">
      <c r="B43" s="17" t="str">
        <f aca="false">IF($I43="","",INDEX(Задачи!$A$1:$A$501,$I43)&amp;"")</f>
        <v>журнал безопасности заполнить</v>
      </c>
      <c r="C43" s="17" t="str">
        <f aca="false">IF($I43="","",INDEX(Задачи!$B$1:$B$501,$I43)&amp;"")</f>
        <v>Оптовка</v>
      </c>
      <c r="D43" s="18" t="str">
        <f aca="false">IF($I43="","",INDEX(Задачи!$C$1:$C$501,$I43)&amp;"")</f>
        <v/>
      </c>
      <c r="E43" s="18" t="str">
        <f aca="false">IF($I43="","",IF(INDEX(Задачи!$D$1:$D$501,$I43)="","Не начато",INDEX(Задачи!$D$1:$D$501,$I43)))</f>
        <v>Не начато</v>
      </c>
      <c r="F43" s="19" t="str">
        <f aca="false">IF($I43="","",IF(INDEX(Задачи!$F$1:$F$501,$I43)="","",INDEX(Задачи!$F$1:$F$501,$I43)))</f>
        <v/>
      </c>
      <c r="G43" s="18" t="str">
        <f aca="false">IF($I43="","",INDEX(Задачи!$K$1:$K$501,$I43)&amp;"")</f>
        <v/>
      </c>
      <c r="H43" s="17" t="str">
        <f aca="false">IF($I43="","",INDEX(Задачи!$I$1:$I$501,$I43)&amp;"")</f>
        <v/>
      </c>
      <c r="I43" s="20" t="n">
        <f aca="false">IFERROR(MOD(SMALL(Задачи!$N$2:$N$501,ROWS(I$27:I43)),1000),"")</f>
        <v>33</v>
      </c>
    </row>
    <row r="44" customFormat="false" ht="30" hidden="false" customHeight="true" outlineLevel="0" collapsed="false">
      <c r="B44" s="17" t="str">
        <f aca="false">IF($I44="","",INDEX(Задачи!$A$1:$A$501,$I44)&amp;"")</f>
        <v>досконально отработать по пожаоной безопасности на чьей это ответсенности арендатор или арендодатель,говый договор запросить</v>
      </c>
      <c r="C44" s="17" t="str">
        <f aca="false">IF($I44="","",INDEX(Задачи!$B$1:$B$501,$I44)&amp;"")</f>
        <v>Оптовка</v>
      </c>
      <c r="D44" s="18" t="str">
        <f aca="false">IF($I44="","",INDEX(Задачи!$C$1:$C$501,$I44)&amp;"")</f>
        <v/>
      </c>
      <c r="E44" s="18" t="str">
        <f aca="false">IF($I44="","",IF(INDEX(Задачи!$D$1:$D$501,$I44)="","Не начато",INDEX(Задачи!$D$1:$D$501,$I44)))</f>
        <v>Не начато</v>
      </c>
      <c r="F44" s="19" t="str">
        <f aca="false">IF($I44="","",IF(INDEX(Задачи!$F$1:$F$501,$I44)="","",INDEX(Задачи!$F$1:$F$501,$I44)))</f>
        <v/>
      </c>
      <c r="G44" s="18" t="str">
        <f aca="false">IF($I44="","",INDEX(Задачи!$K$1:$K$501,$I44)&amp;"")</f>
        <v/>
      </c>
      <c r="H44" s="17" t="str">
        <f aca="false">IF($I44="","",INDEX(Задачи!$I$1:$I$501,$I44)&amp;"")</f>
        <v/>
      </c>
      <c r="I44" s="20" t="n">
        <f aca="false">IFERROR(MOD(SMALL(Задачи!$N$2:$N$501,ROWS(I$27:I44)),1000),"")</f>
        <v>34</v>
      </c>
    </row>
    <row r="45" customFormat="false" ht="30" hidden="false" customHeight="true" outlineLevel="0" collapsed="false">
      <c r="B45" s="17" t="str">
        <f aca="false">IF($I45="","",INDEX(Задачи!$A$1:$A$501,$I45)&amp;"")</f>
        <v>Орг структуру добить переделать</v>
      </c>
      <c r="C45" s="17" t="str">
        <f aca="false">IF($I45="","",INDEX(Задачи!$B$1:$B$501,$I45)&amp;"")</f>
        <v>Управление</v>
      </c>
      <c r="D45" s="18" t="str">
        <f aca="false">IF($I45="","",INDEX(Задачи!$C$1:$C$501,$I45)&amp;"")</f>
        <v/>
      </c>
      <c r="E45" s="18" t="str">
        <f aca="false">IF($I45="","",IF(INDEX(Задачи!$D$1:$D$501,$I45)="","Не начато",INDEX(Задачи!$D$1:$D$501,$I45)))</f>
        <v>Не начато</v>
      </c>
      <c r="F45" s="19" t="str">
        <f aca="false">IF($I45="","",IF(INDEX(Задачи!$F$1:$F$501,$I45)="","",INDEX(Задачи!$F$1:$F$501,$I45)))</f>
        <v/>
      </c>
      <c r="G45" s="18" t="str">
        <f aca="false">IF($I45="","",INDEX(Задачи!$K$1:$K$501,$I45)&amp;"")</f>
        <v/>
      </c>
      <c r="H45" s="17" t="str">
        <f aca="false">IF($I45="","",INDEX(Задачи!$I$1:$I$501,$I45)&amp;"")</f>
        <v/>
      </c>
      <c r="I45" s="20" t="n">
        <f aca="false">IFERROR(MOD(SMALL(Задачи!$N$2:$N$501,ROWS(I$27:I45)),1000),"")</f>
        <v>35</v>
      </c>
    </row>
    <row r="46" customFormat="false" ht="30" hidden="false" customHeight="true" outlineLevel="0" collapsed="false">
      <c r="B46" s="17" t="str">
        <f aca="false">IF($I46="","",INDEX(Задачи!$A$1:$A$501,$I46)&amp;"")</f>
        <v>съездить на осмотр машины и на обшежитие завтра</v>
      </c>
      <c r="C46" s="17" t="str">
        <f aca="false">IF($I46="","",INDEX(Задачи!$B$1:$B$501,$I46)&amp;"")</f>
        <v/>
      </c>
      <c r="D46" s="18" t="str">
        <f aca="false">IF($I46="","",INDEX(Задачи!$C$1:$C$501,$I46)&amp;"")</f>
        <v/>
      </c>
      <c r="E46" s="18" t="str">
        <f aca="false">IF($I46="","",IF(INDEX(Задачи!$D$1:$D$501,$I46)="","Не начато",INDEX(Задачи!$D$1:$D$501,$I46)))</f>
        <v>Не начато</v>
      </c>
      <c r="F46" s="19" t="str">
        <f aca="false">IF($I46="","",IF(INDEX(Задачи!$F$1:$F$501,$I46)="","",INDEX(Задачи!$F$1:$F$501,$I46)))</f>
        <v/>
      </c>
      <c r="G46" s="18" t="str">
        <f aca="false">IF($I46="","",INDEX(Задачи!$K$1:$K$501,$I46)&amp;"")</f>
        <v/>
      </c>
      <c r="H46" s="17" t="str">
        <f aca="false">IF($I46="","",INDEX(Задачи!$I$1:$I$501,$I46)&amp;"")</f>
        <v/>
      </c>
      <c r="I46" s="20" t="n">
        <f aca="false">IFERROR(MOD(SMALL(Задачи!$N$2:$N$501,ROWS(I$27:I46)),1000),"")</f>
        <v>36</v>
      </c>
    </row>
    <row r="47" customFormat="false" ht="30" hidden="false" customHeight="true" outlineLevel="0" collapsed="false">
      <c r="B47" s="17" t="str">
        <f aca="false">IF($I47="","",INDEX(Задачи!$A$1:$A$501,$I47)&amp;"")</f>
        <v>короткий отчет сделать исходя от документов, контроль бухгалтерий  на аутсорсе</v>
      </c>
      <c r="C47" s="17" t="str">
        <f aca="false">IF($I47="","",INDEX(Задачи!$B$1:$B$501,$I47)&amp;"")</f>
        <v>Управление</v>
      </c>
      <c r="D47" s="18" t="str">
        <f aca="false">IF($I47="","",INDEX(Задачи!$C$1:$C$501,$I47)&amp;"")</f>
        <v/>
      </c>
      <c r="E47" s="18" t="str">
        <f aca="false">IF($I47="","",IF(INDEX(Задачи!$D$1:$D$501,$I47)="","Не начато",INDEX(Задачи!$D$1:$D$501,$I47)))</f>
        <v>Не начато</v>
      </c>
      <c r="F47" s="19" t="str">
        <f aca="false">IF($I47="","",IF(INDEX(Задачи!$F$1:$F$501,$I47)="","",INDEX(Задачи!$F$1:$F$501,$I47)))</f>
        <v/>
      </c>
      <c r="G47" s="18" t="str">
        <f aca="false">IF($I47="","",INDEX(Задачи!$K$1:$K$501,$I47)&amp;"")</f>
        <v/>
      </c>
      <c r="H47" s="17" t="str">
        <f aca="false">IF($I47="","",INDEX(Задачи!$I$1:$I$501,$I47)&amp;"")</f>
        <v/>
      </c>
      <c r="I47" s="20" t="n">
        <f aca="false">IFERROR(MOD(SMALL(Задачи!$N$2:$N$501,ROWS(I$27:I47)),1000),"")</f>
        <v>37</v>
      </c>
    </row>
    <row r="48" customFormat="false" ht="30" hidden="false" customHeight="true" outlineLevel="0" collapsed="false">
      <c r="B48" s="17" t="str">
        <f aca="false">IF($I48="","",INDEX(Задачи!$A$1:$A$501,$I48)&amp;"")</f>
        <v>разработать Кипиай исходя из возможности компании, склад, экспед</v>
      </c>
      <c r="C48" s="17" t="str">
        <f aca="false">IF($I48="","",INDEX(Задачи!$B$1:$B$501,$I48)&amp;"")</f>
        <v>Управление</v>
      </c>
      <c r="D48" s="18" t="str">
        <f aca="false">IF($I48="","",INDEX(Задачи!$C$1:$C$501,$I48)&amp;"")</f>
        <v/>
      </c>
      <c r="E48" s="18" t="str">
        <f aca="false">IF($I48="","",IF(INDEX(Задачи!$D$1:$D$501,$I48)="","Не начато",INDEX(Задачи!$D$1:$D$501,$I48)))</f>
        <v>Не начато</v>
      </c>
      <c r="F48" s="19" t="str">
        <f aca="false">IF($I48="","",IF(INDEX(Задачи!$F$1:$F$501,$I48)="","",INDEX(Задачи!$F$1:$F$501,$I48)))</f>
        <v/>
      </c>
      <c r="G48" s="18" t="str">
        <f aca="false">IF($I48="","",INDEX(Задачи!$K$1:$K$501,$I48)&amp;"")</f>
        <v/>
      </c>
      <c r="H48" s="17" t="str">
        <f aca="false">IF($I48="","",INDEX(Задачи!$I$1:$I$501,$I48)&amp;"")</f>
        <v/>
      </c>
      <c r="I48" s="20" t="n">
        <f aca="false">IFERROR(MOD(SMALL(Задачи!$N$2:$N$501,ROWS(I$27:I48)),1000),"")</f>
        <v>38</v>
      </c>
    </row>
    <row r="49" customFormat="false" ht="30" hidden="false" customHeight="true" outlineLevel="0" collapsed="false">
      <c r="B49" s="17" t="str">
        <f aca="false">IF($I49="","",INDEX(Задачи!$A$1:$A$501,$I49)&amp;"")</f>
        <v/>
      </c>
      <c r="C49" s="17" t="str">
        <f aca="false">IF($I49="","",INDEX(Задачи!$B$1:$B$501,$I49)&amp;"")</f>
        <v/>
      </c>
      <c r="D49" s="18" t="str">
        <f aca="false">IF($I49="","",INDEX(Задачи!$C$1:$C$501,$I49)&amp;"")</f>
        <v/>
      </c>
      <c r="E49" s="18" t="str">
        <f aca="false">IF($I49="","",IF(INDEX(Задачи!$D$1:$D$501,$I49)="","Не начато",INDEX(Задачи!$D$1:$D$501,$I49)))</f>
        <v/>
      </c>
      <c r="F49" s="19" t="str">
        <f aca="false">IF($I49="","",IF(INDEX(Задачи!$F$1:$F$501,$I49)="","",INDEX(Задачи!$F$1:$F$501,$I49)))</f>
        <v/>
      </c>
      <c r="G49" s="18" t="str">
        <f aca="false">IF($I49="","",INDEX(Задачи!$K$1:$K$501,$I49)&amp;"")</f>
        <v/>
      </c>
      <c r="H49" s="17" t="str">
        <f aca="false">IF($I49="","",INDEX(Задачи!$I$1:$I$501,$I49)&amp;"")</f>
        <v/>
      </c>
      <c r="I49" s="20" t="str">
        <f aca="false">IFERROR(MOD(SMALL(Задачи!$N$2:$N$501,ROWS(I$27:I49)),1000),"")</f>
        <v/>
      </c>
    </row>
    <row r="50" customFormat="false" ht="30" hidden="false" customHeight="true" outlineLevel="0" collapsed="false">
      <c r="B50" s="17" t="str">
        <f aca="false">IF($I50="","",INDEX(Задачи!$A$1:$A$501,$I50)&amp;"")</f>
        <v/>
      </c>
      <c r="C50" s="17" t="str">
        <f aca="false">IF($I50="","",INDEX(Задачи!$B$1:$B$501,$I50)&amp;"")</f>
        <v/>
      </c>
      <c r="D50" s="18" t="str">
        <f aca="false">IF($I50="","",INDEX(Задачи!$C$1:$C$501,$I50)&amp;"")</f>
        <v/>
      </c>
      <c r="E50" s="18" t="str">
        <f aca="false">IF($I50="","",IF(INDEX(Задачи!$D$1:$D$501,$I50)="","Не начато",INDEX(Задачи!$D$1:$D$501,$I50)))</f>
        <v/>
      </c>
      <c r="F50" s="19" t="str">
        <f aca="false">IF($I50="","",IF(INDEX(Задачи!$F$1:$F$501,$I50)="","",INDEX(Задачи!$F$1:$F$501,$I50)))</f>
        <v/>
      </c>
      <c r="G50" s="18" t="str">
        <f aca="false">IF($I50="","",INDEX(Задачи!$K$1:$K$501,$I50)&amp;"")</f>
        <v/>
      </c>
      <c r="H50" s="17" t="str">
        <f aca="false">IF($I50="","",INDEX(Задачи!$I$1:$I$501,$I50)&amp;"")</f>
        <v/>
      </c>
      <c r="I50" s="20" t="str">
        <f aca="false">IFERROR(MOD(SMALL(Задачи!$N$2:$N$501,ROWS(I$27:I50)),1000),"")</f>
        <v/>
      </c>
    </row>
    <row r="51" customFormat="false" ht="30" hidden="false" customHeight="true" outlineLevel="0" collapsed="false">
      <c r="B51" s="17" t="str">
        <f aca="false">IF($I51="","",INDEX(Задачи!$A$1:$A$501,$I51)&amp;"")</f>
        <v/>
      </c>
      <c r="C51" s="17" t="str">
        <f aca="false">IF($I51="","",INDEX(Задачи!$B$1:$B$501,$I51)&amp;"")</f>
        <v/>
      </c>
      <c r="D51" s="18" t="str">
        <f aca="false">IF($I51="","",INDEX(Задачи!$C$1:$C$501,$I51)&amp;"")</f>
        <v/>
      </c>
      <c r="E51" s="18" t="str">
        <f aca="false">IF($I51="","",IF(INDEX(Задачи!$D$1:$D$501,$I51)="","Не начато",INDEX(Задачи!$D$1:$D$501,$I51)))</f>
        <v/>
      </c>
      <c r="F51" s="19" t="str">
        <f aca="false">IF($I51="","",IF(INDEX(Задачи!$F$1:$F$501,$I51)="","",INDEX(Задачи!$F$1:$F$501,$I51)))</f>
        <v/>
      </c>
      <c r="G51" s="18" t="str">
        <f aca="false">IF($I51="","",INDEX(Задачи!$K$1:$K$501,$I51)&amp;"")</f>
        <v/>
      </c>
      <c r="H51" s="17" t="str">
        <f aca="false">IF($I51="","",INDEX(Задачи!$I$1:$I$501,$I51)&amp;"")</f>
        <v/>
      </c>
      <c r="I51" s="20" t="str">
        <f aca="false">IFERROR(MOD(SMALL(Задачи!$N$2:$N$501,ROWS(I$27:I51)),1000),"")</f>
        <v/>
      </c>
    </row>
    <row r="52" customFormat="false" ht="30" hidden="false" customHeight="true" outlineLevel="0" collapsed="false">
      <c r="B52" s="17" t="str">
        <f aca="false">IF($I52="","",INDEX(Задачи!$A$1:$A$501,$I52)&amp;"")</f>
        <v/>
      </c>
      <c r="C52" s="17" t="str">
        <f aca="false">IF($I52="","",INDEX(Задачи!$B$1:$B$501,$I52)&amp;"")</f>
        <v/>
      </c>
      <c r="D52" s="18" t="str">
        <f aca="false">IF($I52="","",INDEX(Задачи!$C$1:$C$501,$I52)&amp;"")</f>
        <v/>
      </c>
      <c r="E52" s="18" t="str">
        <f aca="false">IF($I52="","",IF(INDEX(Задачи!$D$1:$D$501,$I52)="","Не начато",INDEX(Задачи!$D$1:$D$501,$I52)))</f>
        <v/>
      </c>
      <c r="F52" s="19" t="str">
        <f aca="false">IF($I52="","",IF(INDEX(Задачи!$F$1:$F$501,$I52)="","",INDEX(Задачи!$F$1:$F$501,$I52)))</f>
        <v/>
      </c>
      <c r="G52" s="18" t="str">
        <f aca="false">IF($I52="","",INDEX(Задачи!$K$1:$K$501,$I52)&amp;"")</f>
        <v/>
      </c>
      <c r="H52" s="17" t="str">
        <f aca="false">IF($I52="","",INDEX(Задачи!$I$1:$I$501,$I52)&amp;"")</f>
        <v/>
      </c>
      <c r="I52" s="20" t="str">
        <f aca="false">IFERROR(MOD(SMALL(Задачи!$N$2:$N$501,ROWS(I$27:I52)),1000),"")</f>
        <v/>
      </c>
    </row>
    <row r="53" customFormat="false" ht="30" hidden="false" customHeight="true" outlineLevel="0" collapsed="false">
      <c r="B53" s="17" t="str">
        <f aca="false">IF($I53="","",INDEX(Задачи!$A$1:$A$501,$I53)&amp;"")</f>
        <v/>
      </c>
      <c r="C53" s="17" t="str">
        <f aca="false">IF($I53="","",INDEX(Задачи!$B$1:$B$501,$I53)&amp;"")</f>
        <v/>
      </c>
      <c r="D53" s="18" t="str">
        <f aca="false">IF($I53="","",INDEX(Задачи!$C$1:$C$501,$I53)&amp;"")</f>
        <v/>
      </c>
      <c r="E53" s="18" t="str">
        <f aca="false">IF($I53="","",IF(INDEX(Задачи!$D$1:$D$501,$I53)="","Не начато",INDEX(Задачи!$D$1:$D$501,$I53)))</f>
        <v/>
      </c>
      <c r="F53" s="19" t="str">
        <f aca="false">IF($I53="","",IF(INDEX(Задачи!$F$1:$F$501,$I53)="","",INDEX(Задачи!$F$1:$F$501,$I53)))</f>
        <v/>
      </c>
      <c r="G53" s="18" t="str">
        <f aca="false">IF($I53="","",INDEX(Задачи!$K$1:$K$501,$I53)&amp;"")</f>
        <v/>
      </c>
      <c r="H53" s="17" t="str">
        <f aca="false">IF($I53="","",INDEX(Задачи!$I$1:$I$501,$I53)&amp;"")</f>
        <v/>
      </c>
      <c r="I53" s="20" t="str">
        <f aca="false">IFERROR(MOD(SMALL(Задачи!$N$2:$N$501,ROWS(I$27:I53)),1000),"")</f>
        <v/>
      </c>
    </row>
    <row r="54" customFormat="false" ht="30" hidden="false" customHeight="true" outlineLevel="0" collapsed="false">
      <c r="B54" s="17" t="str">
        <f aca="false">IF($I54="","",INDEX(Задачи!$A$1:$A$501,$I54)&amp;"")</f>
        <v/>
      </c>
      <c r="C54" s="17" t="str">
        <f aca="false">IF($I54="","",INDEX(Задачи!$B$1:$B$501,$I54)&amp;"")</f>
        <v/>
      </c>
      <c r="D54" s="18" t="str">
        <f aca="false">IF($I54="","",INDEX(Задачи!$C$1:$C$501,$I54)&amp;"")</f>
        <v/>
      </c>
      <c r="E54" s="18" t="str">
        <f aca="false">IF($I54="","",IF(INDEX(Задачи!$D$1:$D$501,$I54)="","Не начато",INDEX(Задачи!$D$1:$D$501,$I54)))</f>
        <v/>
      </c>
      <c r="F54" s="19" t="str">
        <f aca="false">IF($I54="","",IF(INDEX(Задачи!$F$1:$F$501,$I54)="","",INDEX(Задачи!$F$1:$F$501,$I54)))</f>
        <v/>
      </c>
      <c r="G54" s="18" t="str">
        <f aca="false">IF($I54="","",INDEX(Задачи!$K$1:$K$501,$I54)&amp;"")</f>
        <v/>
      </c>
      <c r="H54" s="17" t="str">
        <f aca="false">IF($I54="","",INDEX(Задачи!$I$1:$I$501,$I54)&amp;"")</f>
        <v/>
      </c>
      <c r="I54" s="20" t="str">
        <f aca="false">IFERROR(MOD(SMALL(Задачи!$N$2:$N$501,ROWS(I$27:I54)),1000),"")</f>
        <v/>
      </c>
    </row>
    <row r="56" customFormat="false" ht="24" hidden="false" customHeight="true" outlineLevel="0" collapsed="false">
      <c r="B56" s="25" t="str">
        <f aca="false">"ПЛАНОВЫЕ  ·  "&amp;COUNT(Задачи!$O$2:$O$501)&amp;IF(COUNT(Задачи!$O$2:$O$501)&gt;12,"   (показаны первые 12, остальные — на листе «Задачи»)","")</f>
        <v>ПЛАНОВЫЕ  ·  3</v>
      </c>
      <c r="C56" s="26"/>
      <c r="D56" s="26"/>
      <c r="E56" s="26"/>
      <c r="F56" s="26"/>
      <c r="G56" s="26"/>
      <c r="H56" s="26"/>
      <c r="I56" s="26"/>
    </row>
    <row r="57" customFormat="false" ht="19.5" hidden="false" customHeight="true" outlineLevel="0" collapsed="false">
      <c r="B57" s="27" t="s">
        <v>19</v>
      </c>
      <c r="C57" s="28" t="s">
        <v>6</v>
      </c>
      <c r="D57" s="28" t="s">
        <v>9</v>
      </c>
      <c r="E57" s="28" t="s">
        <v>20</v>
      </c>
      <c r="F57" s="28" t="s">
        <v>21</v>
      </c>
      <c r="G57" s="28" t="s">
        <v>22</v>
      </c>
      <c r="H57" s="28" t="s">
        <v>23</v>
      </c>
      <c r="I57" s="28" t="s">
        <v>24</v>
      </c>
    </row>
    <row r="58" customFormat="false" ht="30" hidden="false" customHeight="true" outlineLevel="0" collapsed="false">
      <c r="B58" s="17" t="str">
        <f aca="false">IF($I58="","",INDEX(Задачи!$A$1:$A$501,$I58)&amp;"")</f>
        <v>Продвижение подгузников: идеи, контент, каналы продвижения, контроль,Посик UGS креаторов, блогеров</v>
      </c>
      <c r="C58" s="17" t="str">
        <f aca="false">IF($I58="","",INDEX(Задачи!$B$1:$B$501,$I58)&amp;"")</f>
        <v>Подгузники / маркетинг</v>
      </c>
      <c r="D58" s="18" t="str">
        <f aca="false">IF($I58="","",INDEX(Задачи!$C$1:$C$501,$I58)&amp;"")</f>
        <v>Высокий</v>
      </c>
      <c r="E58" s="18" t="str">
        <f aca="false">IF($I58="","",IF(INDEX(Задачи!$D$1:$D$501,$I58)="","Не начато",INDEX(Задачи!$D$1:$D$501,$I58)))</f>
        <v>Отложено</v>
      </c>
      <c r="F58" s="19" t="str">
        <f aca="false">IF($I58="","",IF(INDEX(Задачи!$F$1:$F$501,$I58)="","",INDEX(Задачи!$F$1:$F$501,$I58)))</f>
        <v/>
      </c>
      <c r="G58" s="18" t="str">
        <f aca="false">IF($I58="","",INDEX(Задачи!$K$1:$K$501,$I58)&amp;"")</f>
        <v>↻ Ежедневно</v>
      </c>
      <c r="H58" s="17" t="str">
        <f aca="false">IF($I58="","",INDEX(Задачи!$I$1:$I$501,$I58)&amp;"")</f>
        <v>совместо с маркетологом будем работать</v>
      </c>
      <c r="I58" s="20" t="n">
        <f aca="false">IFERROR(MOD(SMALL(Задачи!$O$2:$O$501,ROWS(I$58:I58)),1000),"")</f>
        <v>10</v>
      </c>
    </row>
    <row r="59" customFormat="false" ht="30" hidden="false" customHeight="true" outlineLevel="0" collapsed="false">
      <c r="B59" s="17" t="str">
        <f aca="false">IF($I59="","",INDEX(Задачи!$A$1:$A$501,$I59)&amp;"")</f>
        <v>миграционные вопросы решить по трудоустройстве</v>
      </c>
      <c r="C59" s="17" t="str">
        <f aca="false">IF($I59="","",INDEX(Задачи!$B$1:$B$501,$I59)&amp;"")</f>
        <v>Управление</v>
      </c>
      <c r="D59" s="18" t="str">
        <f aca="false">IF($I59="","",INDEX(Задачи!$C$1:$C$501,$I59)&amp;"")</f>
        <v>Высокий</v>
      </c>
      <c r="E59" s="18" t="str">
        <f aca="false">IF($I59="","",IF(INDEX(Задачи!$D$1:$D$501,$I59)="","Не начато",INDEX(Задачи!$D$1:$D$501,$I59)))</f>
        <v>Отложено</v>
      </c>
      <c r="F59" s="19" t="str">
        <f aca="false">IF($I59="","",IF(INDEX(Задачи!$F$1:$F$501,$I59)="","",INDEX(Задачи!$F$1:$F$501,$I59)))</f>
        <v/>
      </c>
      <c r="G59" s="18" t="str">
        <f aca="false">IF($I59="","",INDEX(Задачи!$K$1:$K$501,$I59)&amp;"")</f>
        <v/>
      </c>
      <c r="H59" s="17" t="str">
        <f aca="false">IF($I59="","",INDEX(Задачи!$I$1:$I$501,$I59)&amp;"")</f>
        <v/>
      </c>
      <c r="I59" s="20" t="n">
        <f aca="false">IFERROR(MOD(SMALL(Задачи!$O$2:$O$501,ROWS(I$58:I59)),1000),"")</f>
        <v>28</v>
      </c>
    </row>
    <row r="60" customFormat="false" ht="30" hidden="false" customHeight="true" outlineLevel="0" collapsed="false">
      <c r="B60" s="17" t="str">
        <f aca="false">IF($I60="","",INDEX(Задачи!$A$1:$A$501,$I60)&amp;"")</f>
        <v>Светофор магазин, по ним ждем Ханни</v>
      </c>
      <c r="C60" s="17" t="str">
        <f aca="false">IF($I60="","",INDEX(Задачи!$B$1:$B$501,$I60)&amp;"")</f>
        <v>Подгузники / маркетинг</v>
      </c>
      <c r="D60" s="18" t="str">
        <f aca="false">IF($I60="","",INDEX(Задачи!$C$1:$C$501,$I60)&amp;"")</f>
        <v>Средний</v>
      </c>
      <c r="E60" s="18" t="str">
        <f aca="false">IF($I60="","",IF(INDEX(Задачи!$D$1:$D$501,$I60)="","Не начато",INDEX(Задачи!$D$1:$D$501,$I60)))</f>
        <v>Отложено</v>
      </c>
      <c r="F60" s="19" t="str">
        <f aca="false">IF($I60="","",IF(INDEX(Задачи!$F$1:$F$501,$I60)="","",INDEX(Задачи!$F$1:$F$501,$I60)))</f>
        <v/>
      </c>
      <c r="G60" s="18" t="str">
        <f aca="false">IF($I60="","",INDEX(Задачи!$K$1:$K$501,$I60)&amp;"")</f>
        <v/>
      </c>
      <c r="H60" s="17" t="str">
        <f aca="false">IF($I60="","",INDEX(Задачи!$I$1:$I$501,$I60)&amp;"")</f>
        <v/>
      </c>
      <c r="I60" s="20" t="n">
        <f aca="false">IFERROR(MOD(SMALL(Задачи!$O$2:$O$501,ROWS(I$58:I60)),1000),"")</f>
        <v>27</v>
      </c>
    </row>
    <row r="61" customFormat="false" ht="30" hidden="false" customHeight="true" outlineLevel="0" collapsed="false">
      <c r="B61" s="17" t="str">
        <f aca="false">IF($I61="","",INDEX(Задачи!$A$1:$A$501,$I61)&amp;"")</f>
        <v/>
      </c>
      <c r="C61" s="17" t="str">
        <f aca="false">IF($I61="","",INDEX(Задачи!$B$1:$B$501,$I61)&amp;"")</f>
        <v/>
      </c>
      <c r="D61" s="18" t="str">
        <f aca="false">IF($I61="","",INDEX(Задачи!$C$1:$C$501,$I61)&amp;"")</f>
        <v/>
      </c>
      <c r="E61" s="18" t="str">
        <f aca="false">IF($I61="","",IF(INDEX(Задачи!$D$1:$D$501,$I61)="","Не начато",INDEX(Задачи!$D$1:$D$501,$I61)))</f>
        <v/>
      </c>
      <c r="F61" s="19" t="str">
        <f aca="false">IF($I61="","",IF(INDEX(Задачи!$F$1:$F$501,$I61)="","",INDEX(Задачи!$F$1:$F$501,$I61)))</f>
        <v/>
      </c>
      <c r="G61" s="18" t="str">
        <f aca="false">IF($I61="","",INDEX(Задачи!$K$1:$K$501,$I61)&amp;"")</f>
        <v/>
      </c>
      <c r="H61" s="17" t="str">
        <f aca="false">IF($I61="","",INDEX(Задачи!$I$1:$I$501,$I61)&amp;"")</f>
        <v/>
      </c>
      <c r="I61" s="20" t="str">
        <f aca="false">IFERROR(MOD(SMALL(Задачи!$O$2:$O$501,ROWS(I$58:I61)),1000),"")</f>
        <v/>
      </c>
    </row>
    <row r="62" customFormat="false" ht="30" hidden="false" customHeight="true" outlineLevel="0" collapsed="false">
      <c r="B62" s="17" t="str">
        <f aca="false">IF($I62="","",INDEX(Задачи!$A$1:$A$501,$I62)&amp;"")</f>
        <v/>
      </c>
      <c r="C62" s="17" t="str">
        <f aca="false">IF($I62="","",INDEX(Задачи!$B$1:$B$501,$I62)&amp;"")</f>
        <v/>
      </c>
      <c r="D62" s="18" t="str">
        <f aca="false">IF($I62="","",INDEX(Задачи!$C$1:$C$501,$I62)&amp;"")</f>
        <v/>
      </c>
      <c r="E62" s="18" t="str">
        <f aca="false">IF($I62="","",IF(INDEX(Задачи!$D$1:$D$501,$I62)="","Не начато",INDEX(Задачи!$D$1:$D$501,$I62)))</f>
        <v/>
      </c>
      <c r="F62" s="19" t="str">
        <f aca="false">IF($I62="","",IF(INDEX(Задачи!$F$1:$F$501,$I62)="","",INDEX(Задачи!$F$1:$F$501,$I62)))</f>
        <v/>
      </c>
      <c r="G62" s="18" t="str">
        <f aca="false">IF($I62="","",INDEX(Задачи!$K$1:$K$501,$I62)&amp;"")</f>
        <v/>
      </c>
      <c r="H62" s="17" t="str">
        <f aca="false">IF($I62="","",INDEX(Задачи!$I$1:$I$501,$I62)&amp;"")</f>
        <v/>
      </c>
      <c r="I62" s="20" t="str">
        <f aca="false">IFERROR(MOD(SMALL(Задачи!$O$2:$O$501,ROWS(I$58:I62)),1000),"")</f>
        <v/>
      </c>
    </row>
    <row r="63" customFormat="false" ht="30" hidden="false" customHeight="true" outlineLevel="0" collapsed="false">
      <c r="B63" s="17" t="str">
        <f aca="false">IF($I63="","",INDEX(Задачи!$A$1:$A$501,$I63)&amp;"")</f>
        <v/>
      </c>
      <c r="C63" s="17" t="str">
        <f aca="false">IF($I63="","",INDEX(Задачи!$B$1:$B$501,$I63)&amp;"")</f>
        <v/>
      </c>
      <c r="D63" s="18" t="str">
        <f aca="false">IF($I63="","",INDEX(Задачи!$C$1:$C$501,$I63)&amp;"")</f>
        <v/>
      </c>
      <c r="E63" s="18" t="str">
        <f aca="false">IF($I63="","",IF(INDEX(Задачи!$D$1:$D$501,$I63)="","Не начато",INDEX(Задачи!$D$1:$D$501,$I63)))</f>
        <v/>
      </c>
      <c r="F63" s="19" t="str">
        <f aca="false">IF($I63="","",IF(INDEX(Задачи!$F$1:$F$501,$I63)="","",INDEX(Задачи!$F$1:$F$501,$I63)))</f>
        <v/>
      </c>
      <c r="G63" s="18" t="str">
        <f aca="false">IF($I63="","",INDEX(Задачи!$K$1:$K$501,$I63)&amp;"")</f>
        <v/>
      </c>
      <c r="H63" s="17" t="str">
        <f aca="false">IF($I63="","",INDEX(Задачи!$I$1:$I$501,$I63)&amp;"")</f>
        <v/>
      </c>
      <c r="I63" s="20" t="str">
        <f aca="false">IFERROR(MOD(SMALL(Задачи!$O$2:$O$501,ROWS(I$58:I63)),1000),"")</f>
        <v/>
      </c>
    </row>
    <row r="64" customFormat="false" ht="30" hidden="false" customHeight="true" outlineLevel="0" collapsed="false">
      <c r="B64" s="17" t="str">
        <f aca="false">IF($I64="","",INDEX(Задачи!$A$1:$A$501,$I64)&amp;"")</f>
        <v/>
      </c>
      <c r="C64" s="17" t="str">
        <f aca="false">IF($I64="","",INDEX(Задачи!$B$1:$B$501,$I64)&amp;"")</f>
        <v/>
      </c>
      <c r="D64" s="18" t="str">
        <f aca="false">IF($I64="","",INDEX(Задачи!$C$1:$C$501,$I64)&amp;"")</f>
        <v/>
      </c>
      <c r="E64" s="18" t="str">
        <f aca="false">IF($I64="","",IF(INDEX(Задачи!$D$1:$D$501,$I64)="","Не начато",INDEX(Задачи!$D$1:$D$501,$I64)))</f>
        <v/>
      </c>
      <c r="F64" s="19" t="str">
        <f aca="false">IF($I64="","",IF(INDEX(Задачи!$F$1:$F$501,$I64)="","",INDEX(Задачи!$F$1:$F$501,$I64)))</f>
        <v/>
      </c>
      <c r="G64" s="18" t="str">
        <f aca="false">IF($I64="","",INDEX(Задачи!$K$1:$K$501,$I64)&amp;"")</f>
        <v/>
      </c>
      <c r="H64" s="17" t="str">
        <f aca="false">IF($I64="","",INDEX(Задачи!$I$1:$I$501,$I64)&amp;"")</f>
        <v/>
      </c>
      <c r="I64" s="20" t="str">
        <f aca="false">IFERROR(MOD(SMALL(Задачи!$O$2:$O$501,ROWS(I$58:I64)),1000),"")</f>
        <v/>
      </c>
    </row>
    <row r="65" customFormat="false" ht="30" hidden="false" customHeight="true" outlineLevel="0" collapsed="false">
      <c r="B65" s="17" t="str">
        <f aca="false">IF($I65="","",INDEX(Задачи!$A$1:$A$501,$I65)&amp;"")</f>
        <v/>
      </c>
      <c r="C65" s="17" t="str">
        <f aca="false">IF($I65="","",INDEX(Задачи!$B$1:$B$501,$I65)&amp;"")</f>
        <v/>
      </c>
      <c r="D65" s="18" t="str">
        <f aca="false">IF($I65="","",INDEX(Задачи!$C$1:$C$501,$I65)&amp;"")</f>
        <v/>
      </c>
      <c r="E65" s="18" t="str">
        <f aca="false">IF($I65="","",IF(INDEX(Задачи!$D$1:$D$501,$I65)="","Не начато",INDEX(Задачи!$D$1:$D$501,$I65)))</f>
        <v/>
      </c>
      <c r="F65" s="19" t="str">
        <f aca="false">IF($I65="","",IF(INDEX(Задачи!$F$1:$F$501,$I65)="","",INDEX(Задачи!$F$1:$F$501,$I65)))</f>
        <v/>
      </c>
      <c r="G65" s="18" t="str">
        <f aca="false">IF($I65="","",INDEX(Задачи!$K$1:$K$501,$I65)&amp;"")</f>
        <v/>
      </c>
      <c r="H65" s="17" t="str">
        <f aca="false">IF($I65="","",INDEX(Задачи!$I$1:$I$501,$I65)&amp;"")</f>
        <v/>
      </c>
      <c r="I65" s="20" t="str">
        <f aca="false">IFERROR(MOD(SMALL(Задачи!$O$2:$O$501,ROWS(I$58:I65)),1000),"")</f>
        <v/>
      </c>
    </row>
    <row r="66" customFormat="false" ht="30" hidden="false" customHeight="true" outlineLevel="0" collapsed="false">
      <c r="B66" s="17" t="str">
        <f aca="false">IF($I66="","",INDEX(Задачи!$A$1:$A$501,$I66)&amp;"")</f>
        <v/>
      </c>
      <c r="C66" s="17" t="str">
        <f aca="false">IF($I66="","",INDEX(Задачи!$B$1:$B$501,$I66)&amp;"")</f>
        <v/>
      </c>
      <c r="D66" s="18" t="str">
        <f aca="false">IF($I66="","",INDEX(Задачи!$C$1:$C$501,$I66)&amp;"")</f>
        <v/>
      </c>
      <c r="E66" s="18" t="str">
        <f aca="false">IF($I66="","",IF(INDEX(Задачи!$D$1:$D$501,$I66)="","Не начато",INDEX(Задачи!$D$1:$D$501,$I66)))</f>
        <v/>
      </c>
      <c r="F66" s="19" t="str">
        <f aca="false">IF($I66="","",IF(INDEX(Задачи!$F$1:$F$501,$I66)="","",INDEX(Задачи!$F$1:$F$501,$I66)))</f>
        <v/>
      </c>
      <c r="G66" s="18" t="str">
        <f aca="false">IF($I66="","",INDEX(Задачи!$K$1:$K$501,$I66)&amp;"")</f>
        <v/>
      </c>
      <c r="H66" s="17" t="str">
        <f aca="false">IF($I66="","",INDEX(Задачи!$I$1:$I$501,$I66)&amp;"")</f>
        <v/>
      </c>
      <c r="I66" s="20" t="str">
        <f aca="false">IFERROR(MOD(SMALL(Задачи!$O$2:$O$501,ROWS(I$58:I66)),1000),"")</f>
        <v/>
      </c>
    </row>
    <row r="67" customFormat="false" ht="30" hidden="false" customHeight="true" outlineLevel="0" collapsed="false">
      <c r="B67" s="17" t="str">
        <f aca="false">IF($I67="","",INDEX(Задачи!$A$1:$A$501,$I67)&amp;"")</f>
        <v/>
      </c>
      <c r="C67" s="17" t="str">
        <f aca="false">IF($I67="","",INDEX(Задачи!$B$1:$B$501,$I67)&amp;"")</f>
        <v/>
      </c>
      <c r="D67" s="18" t="str">
        <f aca="false">IF($I67="","",INDEX(Задачи!$C$1:$C$501,$I67)&amp;"")</f>
        <v/>
      </c>
      <c r="E67" s="18" t="str">
        <f aca="false">IF($I67="","",IF(INDEX(Задачи!$D$1:$D$501,$I67)="","Не начато",INDEX(Задачи!$D$1:$D$501,$I67)))</f>
        <v/>
      </c>
      <c r="F67" s="19" t="str">
        <f aca="false">IF($I67="","",IF(INDEX(Задачи!$F$1:$F$501,$I67)="","",INDEX(Задачи!$F$1:$F$501,$I67)))</f>
        <v/>
      </c>
      <c r="G67" s="18" t="str">
        <f aca="false">IF($I67="","",INDEX(Задачи!$K$1:$K$501,$I67)&amp;"")</f>
        <v/>
      </c>
      <c r="H67" s="17" t="str">
        <f aca="false">IF($I67="","",INDEX(Задачи!$I$1:$I$501,$I67)&amp;"")</f>
        <v/>
      </c>
      <c r="I67" s="20" t="str">
        <f aca="false">IFERROR(MOD(SMALL(Задачи!$O$2:$O$501,ROWS(I$58:I67)),1000),"")</f>
        <v/>
      </c>
    </row>
    <row r="68" customFormat="false" ht="30" hidden="false" customHeight="true" outlineLevel="0" collapsed="false">
      <c r="B68" s="17" t="str">
        <f aca="false">IF($I68="","",INDEX(Задачи!$A$1:$A$501,$I68)&amp;"")</f>
        <v/>
      </c>
      <c r="C68" s="17" t="str">
        <f aca="false">IF($I68="","",INDEX(Задачи!$B$1:$B$501,$I68)&amp;"")</f>
        <v/>
      </c>
      <c r="D68" s="18" t="str">
        <f aca="false">IF($I68="","",INDEX(Задачи!$C$1:$C$501,$I68)&amp;"")</f>
        <v/>
      </c>
      <c r="E68" s="18" t="str">
        <f aca="false">IF($I68="","",IF(INDEX(Задачи!$D$1:$D$501,$I68)="","Не начато",INDEX(Задачи!$D$1:$D$501,$I68)))</f>
        <v/>
      </c>
      <c r="F68" s="19" t="str">
        <f aca="false">IF($I68="","",IF(INDEX(Задачи!$F$1:$F$501,$I68)="","",INDEX(Задачи!$F$1:$F$501,$I68)))</f>
        <v/>
      </c>
      <c r="G68" s="18" t="str">
        <f aca="false">IF($I68="","",INDEX(Задачи!$K$1:$K$501,$I68)&amp;"")</f>
        <v/>
      </c>
      <c r="H68" s="17" t="str">
        <f aca="false">IF($I68="","",INDEX(Задачи!$I$1:$I$501,$I68)&amp;"")</f>
        <v/>
      </c>
      <c r="I68" s="20" t="str">
        <f aca="false">IFERROR(MOD(SMALL(Задачи!$O$2:$O$501,ROWS(I$58:I68)),1000),"")</f>
        <v/>
      </c>
    </row>
    <row r="69" customFormat="false" ht="30" hidden="false" customHeight="true" outlineLevel="0" collapsed="false">
      <c r="B69" s="17" t="str">
        <f aca="false">IF($I69="","",INDEX(Задачи!$A$1:$A$501,$I69)&amp;"")</f>
        <v/>
      </c>
      <c r="C69" s="17" t="str">
        <f aca="false">IF($I69="","",INDEX(Задачи!$B$1:$B$501,$I69)&amp;"")</f>
        <v/>
      </c>
      <c r="D69" s="18" t="str">
        <f aca="false">IF($I69="","",INDEX(Задачи!$C$1:$C$501,$I69)&amp;"")</f>
        <v/>
      </c>
      <c r="E69" s="18" t="str">
        <f aca="false">IF($I69="","",IF(INDEX(Задачи!$D$1:$D$501,$I69)="","Не начато",INDEX(Задачи!$D$1:$D$501,$I69)))</f>
        <v/>
      </c>
      <c r="F69" s="19" t="str">
        <f aca="false">IF($I69="","",IF(INDEX(Задачи!$F$1:$F$501,$I69)="","",INDEX(Задачи!$F$1:$F$501,$I69)))</f>
        <v/>
      </c>
      <c r="G69" s="18" t="str">
        <f aca="false">IF($I69="","",INDEX(Задачи!$K$1:$K$501,$I69)&amp;"")</f>
        <v/>
      </c>
      <c r="H69" s="17" t="str">
        <f aca="false">IF($I69="","",INDEX(Задачи!$I$1:$I$501,$I69)&amp;"")</f>
        <v/>
      </c>
      <c r="I69" s="20" t="str">
        <f aca="false">IFERROR(MOD(SMALL(Задачи!$O$2:$O$501,ROWS(I$58:I69)),1000),"")</f>
        <v/>
      </c>
    </row>
    <row r="71" customFormat="false" ht="15" hidden="false" customHeight="false" outlineLevel="0" collapsed="false">
      <c r="B71" s="4" t="s">
        <v>25</v>
      </c>
    </row>
  </sheetData>
  <mergeCells count="2">
    <mergeCell ref="F6:G6"/>
    <mergeCell ref="F7:G7"/>
  </mergeCells>
  <conditionalFormatting sqref="F16:G23">
    <cfRule type="expression" priority="2" aboveAverage="0" equalAverage="0" bottom="0" percent="0" rank="0" text="" dxfId="0">
      <formula>LEFT($G16,10)="Просрочено"</formula>
    </cfRule>
    <cfRule type="expression" priority="3" aboveAverage="0" equalAverage="0" bottom="0" percent="0" rank="0" text="" dxfId="1">
      <formula>OR($G16="Сегодня",$G16="Завтра")</formula>
    </cfRule>
  </conditionalFormatting>
  <conditionalFormatting sqref="D16:D23">
    <cfRule type="expression" priority="4" aboveAverage="0" equalAverage="0" bottom="0" percent="0" rank="0" text="" dxfId="2">
      <formula>$D16="Срочно"</formula>
    </cfRule>
    <cfRule type="expression" priority="5" aboveAverage="0" equalAverage="0" bottom="0" percent="0" rank="0" text="" dxfId="3">
      <formula>$D16="Высокий"</formula>
    </cfRule>
    <cfRule type="expression" priority="6" aboveAverage="0" equalAverage="0" bottom="0" percent="0" rank="0" text="" dxfId="4">
      <formula>$D16="Средний"</formula>
    </cfRule>
    <cfRule type="expression" priority="7" aboveAverage="0" equalAverage="0" bottom="0" percent="0" rank="0" text="" dxfId="5">
      <formula>$D16="Низкий"</formula>
    </cfRule>
  </conditionalFormatting>
  <conditionalFormatting sqref="E16:E23">
    <cfRule type="expression" priority="8" aboveAverage="0" equalAverage="0" bottom="0" percent="0" rank="0" text="" dxfId="6">
      <formula>$E16="В работе"</formula>
    </cfRule>
    <cfRule type="expression" priority="9" aboveAverage="0" equalAverage="0" bottom="0" percent="0" rank="0" text="" dxfId="4">
      <formula>$E16="Ожидает"</formula>
    </cfRule>
    <cfRule type="expression" priority="10" aboveAverage="0" equalAverage="0" bottom="0" percent="0" rank="0" text="" dxfId="7">
      <formula>$E16="Отложено"</formula>
    </cfRule>
    <cfRule type="expression" priority="11" aboveAverage="0" equalAverage="0" bottom="0" percent="0" rank="0" text="" dxfId="8">
      <formula>$E16="Выполнено"</formula>
    </cfRule>
  </conditionalFormatting>
  <conditionalFormatting sqref="B16:I23">
    <cfRule type="expression" priority="12" aboveAverage="0" equalAverage="0" bottom="0" percent="0" rank="0" text="" dxfId="9">
      <formula>$B16&lt;&gt;""</formula>
    </cfRule>
  </conditionalFormatting>
  <conditionalFormatting sqref="F27:G54">
    <cfRule type="expression" priority="13" aboveAverage="0" equalAverage="0" bottom="0" percent="0" rank="0" text="" dxfId="0">
      <formula>LEFT($G27,10)="Просрочено"</formula>
    </cfRule>
    <cfRule type="expression" priority="14" aboveAverage="0" equalAverage="0" bottom="0" percent="0" rank="0" text="" dxfId="1">
      <formula>OR($G27="Сегодня",$G27="Завтра")</formula>
    </cfRule>
  </conditionalFormatting>
  <conditionalFormatting sqref="D27:D54">
    <cfRule type="expression" priority="15" aboveAverage="0" equalAverage="0" bottom="0" percent="0" rank="0" text="" dxfId="2">
      <formula>$D27="Срочно"</formula>
    </cfRule>
    <cfRule type="expression" priority="16" aboveAverage="0" equalAverage="0" bottom="0" percent="0" rank="0" text="" dxfId="3">
      <formula>$D27="Высокий"</formula>
    </cfRule>
    <cfRule type="expression" priority="17" aboveAverage="0" equalAverage="0" bottom="0" percent="0" rank="0" text="" dxfId="4">
      <formula>$D27="Средний"</formula>
    </cfRule>
    <cfRule type="expression" priority="18" aboveAverage="0" equalAverage="0" bottom="0" percent="0" rank="0" text="" dxfId="5">
      <formula>$D27="Низкий"</formula>
    </cfRule>
  </conditionalFormatting>
  <conditionalFormatting sqref="E27:E54">
    <cfRule type="expression" priority="19" aboveAverage="0" equalAverage="0" bottom="0" percent="0" rank="0" text="" dxfId="6">
      <formula>$E27="В работе"</formula>
    </cfRule>
    <cfRule type="expression" priority="20" aboveAverage="0" equalAverage="0" bottom="0" percent="0" rank="0" text="" dxfId="4">
      <formula>$E27="Ожидает"</formula>
    </cfRule>
    <cfRule type="expression" priority="21" aboveAverage="0" equalAverage="0" bottom="0" percent="0" rank="0" text="" dxfId="7">
      <formula>$E27="Отложено"</formula>
    </cfRule>
    <cfRule type="expression" priority="22" aboveAverage="0" equalAverage="0" bottom="0" percent="0" rank="0" text="" dxfId="8">
      <formula>$E27="Выполнено"</formula>
    </cfRule>
  </conditionalFormatting>
  <conditionalFormatting sqref="B27:I54">
    <cfRule type="expression" priority="23" aboveAverage="0" equalAverage="0" bottom="0" percent="0" rank="0" text="" dxfId="9">
      <formula>$B27&lt;&gt;""</formula>
    </cfRule>
  </conditionalFormatting>
  <conditionalFormatting sqref="F58:G69">
    <cfRule type="expression" priority="24" aboveAverage="0" equalAverage="0" bottom="0" percent="0" rank="0" text="" dxfId="0">
      <formula>LEFT($G58,10)="Просрочено"</formula>
    </cfRule>
    <cfRule type="expression" priority="25" aboveAverage="0" equalAverage="0" bottom="0" percent="0" rank="0" text="" dxfId="1">
      <formula>OR($G58="Сегодня",$G58="Завтра")</formula>
    </cfRule>
  </conditionalFormatting>
  <conditionalFormatting sqref="D58:D69">
    <cfRule type="expression" priority="26" aboveAverage="0" equalAverage="0" bottom="0" percent="0" rank="0" text="" dxfId="2">
      <formula>$D58="Срочно"</formula>
    </cfRule>
    <cfRule type="expression" priority="27" aboveAverage="0" equalAverage="0" bottom="0" percent="0" rank="0" text="" dxfId="3">
      <formula>$D58="Высокий"</formula>
    </cfRule>
    <cfRule type="expression" priority="28" aboveAverage="0" equalAverage="0" bottom="0" percent="0" rank="0" text="" dxfId="4">
      <formula>$D58="Средний"</formula>
    </cfRule>
    <cfRule type="expression" priority="29" aboveAverage="0" equalAverage="0" bottom="0" percent="0" rank="0" text="" dxfId="5">
      <formula>$D58="Низкий"</formula>
    </cfRule>
  </conditionalFormatting>
  <conditionalFormatting sqref="E58:E69">
    <cfRule type="expression" priority="30" aboveAverage="0" equalAverage="0" bottom="0" percent="0" rank="0" text="" dxfId="6">
      <formula>$E58="В работе"</formula>
    </cfRule>
    <cfRule type="expression" priority="31" aboveAverage="0" equalAverage="0" bottom="0" percent="0" rank="0" text="" dxfId="4">
      <formula>$E58="Ожидает"</formula>
    </cfRule>
    <cfRule type="expression" priority="32" aboveAverage="0" equalAverage="0" bottom="0" percent="0" rank="0" text="" dxfId="7">
      <formula>$E58="Отложено"</formula>
    </cfRule>
    <cfRule type="expression" priority="33" aboveAverage="0" equalAverage="0" bottom="0" percent="0" rank="0" text="" dxfId="8">
      <formula>$E58="Выполнено"</formula>
    </cfRule>
  </conditionalFormatting>
  <conditionalFormatting sqref="B58:I69">
    <cfRule type="expression" priority="34" aboveAverage="0" equalAverage="0" bottom="0" percent="0" rank="0" text="" dxfId="9">
      <formula>$B58&lt;&gt;""</formula>
    </cfRule>
  </conditionalFormatting>
  <dataValidations count="2">
    <dataValidation allowBlank="true" error="Выберите значение из списка" errorStyle="stop" errorTitle="Фильтр" operator="between" showDropDown="false" showErrorMessage="true" showInputMessage="false" sqref="F6" type="list">
      <formula1>Справочники!$J$2:$J$17</formula1>
      <formula2>0</formula2>
    </dataValidation>
    <dataValidation allowBlank="true" error="Выберите значение из списка" errorStyle="stop" errorTitle="Фильтр" operator="between" showDropDown="false" showErrorMessage="true" showInputMessage="false" sqref="F7" type="list">
      <formula1>Справочники!$K$2:$K$6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7D6B"/>
    <pageSetUpPr fitToPage="true"/>
  </sheetPr>
  <dimension ref="A1:P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52"/>
    <col collapsed="false" customWidth="true" hidden="false" outlineLevel="0" max="10" min="10" style="0" width="13"/>
    <col collapsed="false" customWidth="true" hidden="false" outlineLevel="0" max="11" min="11" style="0" width="22"/>
    <col collapsed="false" customWidth="true" hidden="true" outlineLevel="0" max="16" min="12" style="0" width="13"/>
  </cols>
  <sheetData>
    <row r="1" customFormat="false" ht="31.5" hidden="false" customHeight="true" outlineLevel="0" collapsed="false">
      <c r="A1" s="29" t="s">
        <v>19</v>
      </c>
      <c r="B1" s="29" t="s">
        <v>6</v>
      </c>
      <c r="C1" s="29" t="s">
        <v>9</v>
      </c>
      <c r="D1" s="29" t="s">
        <v>20</v>
      </c>
      <c r="E1" s="29" t="s">
        <v>26</v>
      </c>
      <c r="F1" s="29" t="s">
        <v>21</v>
      </c>
      <c r="G1" s="29" t="s">
        <v>27</v>
      </c>
      <c r="H1" s="29" t="s">
        <v>28</v>
      </c>
      <c r="I1" s="29" t="s">
        <v>23</v>
      </c>
      <c r="J1" s="30" t="s">
        <v>29</v>
      </c>
      <c r="K1" s="30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17</v>
      </c>
    </row>
    <row r="2" customFormat="false" ht="21.75" hidden="false" customHeight="true" outlineLevel="0" collapsed="false">
      <c r="A2" s="31" t="s">
        <v>35</v>
      </c>
      <c r="B2" s="31" t="s">
        <v>36</v>
      </c>
      <c r="C2" s="32" t="s">
        <v>37</v>
      </c>
      <c r="D2" s="32" t="s">
        <v>17</v>
      </c>
      <c r="E2" s="33"/>
      <c r="F2" s="33"/>
      <c r="G2" s="32" t="s">
        <v>38</v>
      </c>
      <c r="H2" s="32" t="s">
        <v>39</v>
      </c>
      <c r="I2" s="31"/>
      <c r="J2" s="34" t="str">
        <f aca="true">IF(TRIM(A2)="","",IF(D2="Выполнено","Выполнено",IF(OR(C2="Срочно",AND(F2&lt;&gt;"",F2&lt;=TODAY())),"Срочные",IF(OR(D2="Отложено",C2="Низкий",AND(F2&lt;&gt;"",F2&gt;TODAY()+Справочники!$H$2)),"Плановые","Текущие"))))</f>
        <v>Выполнено</v>
      </c>
      <c r="K2" s="35" t="str">
        <f aca="true">IF(OR(A2="",D2="Выполнено"),"",IF(F2="",IF(AND(G2&lt;&gt;"",G2&lt;&gt;"Разово"),"↻ "&amp;G2,""),IF(F2&lt;TODAY(),"Просрочено на "&amp;(TODAY()-F2)&amp;" дн.",IF(F2=TODAY(),"Сегодня",IF(F2=TODAY()+1,"Завтра","Через "&amp;(F2-TODAY())&amp;" дн.")))))</f>
        <v/>
      </c>
      <c r="L2" s="36" t="n">
        <f aca="true">IF(J2="","",(IF(AND(F2&lt;&gt;"",F2&lt;TODAY()),0,1)*10000000+IFERROR(MATCH(C2,{"Срочно","Высокий","Средний","Низкий"},0),5)*100000+IF(F2="",99999,F2))*1000+ROW())</f>
        <v>10299999002</v>
      </c>
      <c r="M2" s="0" t="str">
        <f aca="false">IF(AND($J2="Срочные",OR(Главная!$F$6="Все",$B2=Главная!$F$6),OR(Главная!$F$7="Все",$C2=Главная!$F$7)),$L2,"")</f>
        <v/>
      </c>
      <c r="N2" s="0" t="str">
        <f aca="false">IF(AND($J2="Текущие",OR(Главная!$F$6="Все",$B2=Главная!$F$6),OR(Главная!$F$7="Все",$C2=Главная!$F$7)),$L2,"")</f>
        <v/>
      </c>
      <c r="O2" s="0" t="str">
        <f aca="false">IF(AND($J2="Плановые",OR(Главная!$F$6="Все",$B2=Главная!$F$6),OR(Главная!$F$7="Все",$C2=Главная!$F$7)),$L2,"")</f>
        <v/>
      </c>
      <c r="P2" s="36" t="n">
        <f aca="false">IF(J2="Выполнено",ROW(),"")</f>
        <v>2</v>
      </c>
    </row>
    <row r="3" customFormat="false" ht="33" hidden="false" customHeight="true" outlineLevel="0" collapsed="false">
      <c r="A3" s="31" t="s">
        <v>40</v>
      </c>
      <c r="B3" s="31" t="s">
        <v>36</v>
      </c>
      <c r="C3" s="32" t="s">
        <v>37</v>
      </c>
      <c r="D3" s="32" t="s">
        <v>17</v>
      </c>
      <c r="E3" s="33"/>
      <c r="F3" s="33" t="n">
        <v>46301</v>
      </c>
      <c r="G3" s="32" t="s">
        <v>41</v>
      </c>
      <c r="H3" s="32" t="s">
        <v>42</v>
      </c>
      <c r="I3" s="31"/>
      <c r="J3" s="34" t="str">
        <f aca="true">IF(TRIM(A3)="","",IF(D3="Выполнено","Выполнено",IF(OR(C3="Срочно",AND(F3&lt;&gt;"",F3&lt;=TODAY())),"Срочные",IF(OR(D3="Отложено",C3="Низкий",AND(F3&lt;&gt;"",F3&gt;TODAY()+Справочники!$H$2)),"Плановые","Текущие"))))</f>
        <v>Выполнено</v>
      </c>
      <c r="K3" s="35" t="str">
        <f aca="true">IF(OR(A3="",D3="Выполнено"),"",IF(F3="",IF(AND(G3&lt;&gt;"",G3&lt;&gt;"Разово"),"↻ "&amp;G3,""),IF(F3&lt;TODAY(),"Просрочено на "&amp;(TODAY()-F3)&amp;" дн.",IF(F3=TODAY(),"Сегодня",IF(F3=TODAY()+1,"Завтра","Через "&amp;(F3-TODAY())&amp;" дн.")))))</f>
        <v/>
      </c>
      <c r="L3" s="36" t="n">
        <f aca="true">IF(J3="","",(IF(AND(F3&lt;&gt;"",F3&lt;TODAY()),0,1)*10000000+IFERROR(MATCH(C3,{"Срочно","Высокий","Средний","Низкий"},0),5)*100000+IF(F3="",99999,F3))*1000+ROW())</f>
        <v>10246301003</v>
      </c>
      <c r="M3" s="0" t="str">
        <f aca="false">IF(AND($J3="Срочные",OR(Главная!$F$6="Все",$B3=Главная!$F$6),OR(Главная!$F$7="Все",$C3=Главная!$F$7)),$L3,"")</f>
        <v/>
      </c>
      <c r="N3" s="0" t="str">
        <f aca="false">IF(AND($J3="Текущие",OR(Главная!$F$6="Все",$B3=Главная!$F$6),OR(Главная!$F$7="Все",$C3=Главная!$F$7)),$L3,"")</f>
        <v/>
      </c>
      <c r="O3" s="0" t="str">
        <f aca="false">IF(AND($J3="Плановые",OR(Главная!$F$6="Все",$B3=Главная!$F$6),OR(Главная!$F$7="Все",$C3=Главная!$F$7)),$L3,"")</f>
        <v/>
      </c>
      <c r="P3" s="36" t="n">
        <f aca="false">IF(J3="Выполнено",ROW(),"")</f>
        <v>3</v>
      </c>
    </row>
    <row r="4" customFormat="false" ht="33" hidden="false" customHeight="true" outlineLevel="0" collapsed="false">
      <c r="A4" s="31" t="s">
        <v>43</v>
      </c>
      <c r="B4" s="31" t="s">
        <v>44</v>
      </c>
      <c r="C4" s="32" t="s">
        <v>37</v>
      </c>
      <c r="D4" s="32" t="s">
        <v>13</v>
      </c>
      <c r="E4" s="33"/>
      <c r="F4" s="33"/>
      <c r="G4" s="32" t="s">
        <v>45</v>
      </c>
      <c r="H4" s="32" t="s">
        <v>46</v>
      </c>
      <c r="I4" s="31"/>
      <c r="J4" s="34" t="str">
        <f aca="true">IF(TRIM(A4)="","",IF(D4="Выполнено","Выполнено",IF(OR(C4="Срочно",AND(F4&lt;&gt;"",F4&lt;=TODAY())),"Срочные",IF(OR(D4="Отложено",C4="Низкий",AND(F4&lt;&gt;"",F4&gt;TODAY()+Справочники!$H$2)),"Плановые","Текущие"))))</f>
        <v>Текущие</v>
      </c>
      <c r="K4" s="35" t="str">
        <f aca="true">IF(OR(A4="",D4="Выполнено"),"",IF(F4="",IF(AND(G4&lt;&gt;"",G4&lt;&gt;"Разово"),"↻ "&amp;G4,""),IF(F4&lt;TODAY(),"Просрочено на "&amp;(TODAY()-F4)&amp;" дн.",IF(F4=TODAY(),"Сегодня",IF(F4=TODAY()+1,"Завтра","Через "&amp;(F4-TODAY())&amp;" дн.")))))</f>
        <v>↻ Ежедневно</v>
      </c>
      <c r="L4" s="36" t="n">
        <f aca="true">IF(J4="","",(IF(AND(F4&lt;&gt;"",F4&lt;TODAY()),0,1)*10000000+IFERROR(MATCH(C4,{"Срочно","Высокий","Средний","Низкий"},0),5)*100000+IF(F4="",99999,F4))*1000+ROW())</f>
        <v>10299999004</v>
      </c>
      <c r="M4" s="0" t="str">
        <f aca="false">IF(AND($J4="Срочные",OR(Главная!$F$6="Все",$B4=Главная!$F$6),OR(Главная!$F$7="Все",$C4=Главная!$F$7)),$L4,"")</f>
        <v/>
      </c>
      <c r="N4" s="36" t="n">
        <f aca="false">IF(AND($J4="Текущие",OR(Главная!$F$6="Все",$B4=Главная!$F$6),OR(Главная!$F$7="Все",$C4=Главная!$F$7)),$L4,"")</f>
        <v>10299999004</v>
      </c>
      <c r="O4" s="0" t="str">
        <f aca="false">IF(AND($J4="Плановые",OR(Главная!$F$6="Все",$B4=Главная!$F$6),OR(Главная!$F$7="Все",$C4=Главная!$F$7)),$L4,"")</f>
        <v/>
      </c>
      <c r="P4" s="0" t="str">
        <f aca="false">IF(J4="Выполнено",ROW(),"")</f>
        <v/>
      </c>
    </row>
    <row r="5" customFormat="false" ht="33" hidden="false" customHeight="true" outlineLevel="0" collapsed="false">
      <c r="A5" s="31" t="s">
        <v>47</v>
      </c>
      <c r="B5" s="31" t="s">
        <v>48</v>
      </c>
      <c r="C5" s="32" t="s">
        <v>37</v>
      </c>
      <c r="D5" s="32" t="s">
        <v>13</v>
      </c>
      <c r="E5" s="33"/>
      <c r="F5" s="33"/>
      <c r="G5" s="32" t="s">
        <v>45</v>
      </c>
      <c r="H5" s="32" t="s">
        <v>49</v>
      </c>
      <c r="I5" s="31" t="s">
        <v>50</v>
      </c>
      <c r="J5" s="34" t="str">
        <f aca="true">IF(TRIM(A5)="","",IF(D5="Выполнено","Выполнено",IF(OR(C5="Срочно",AND(F5&lt;&gt;"",F5&lt;=TODAY())),"Срочные",IF(OR(D5="Отложено",C5="Низкий",AND(F5&lt;&gt;"",F5&gt;TODAY()+Справочники!$H$2)),"Плановые","Текущие"))))</f>
        <v>Текущие</v>
      </c>
      <c r="K5" s="35" t="str">
        <f aca="true">IF(OR(A5="",D5="Выполнено"),"",IF(F5="",IF(AND(G5&lt;&gt;"",G5&lt;&gt;"Разово"),"↻ "&amp;G5,""),IF(F5&lt;TODAY(),"Просрочено на "&amp;(TODAY()-F5)&amp;" дн.",IF(F5=TODAY(),"Сегодня",IF(F5=TODAY()+1,"Завтра","Через "&amp;(F5-TODAY())&amp;" дн.")))))</f>
        <v>↻ Ежедневно</v>
      </c>
      <c r="L5" s="36" t="n">
        <f aca="true">IF(J5="","",(IF(AND(F5&lt;&gt;"",F5&lt;TODAY()),0,1)*10000000+IFERROR(MATCH(C5,{"Срочно","Высокий","Средний","Низкий"},0),5)*100000+IF(F5="",99999,F5))*1000+ROW())</f>
        <v>10299999005</v>
      </c>
      <c r="M5" s="0" t="str">
        <f aca="false">IF(AND($J5="Срочные",OR(Главная!$F$6="Все",$B5=Главная!$F$6),OR(Главная!$F$7="Все",$C5=Главная!$F$7)),$L5,"")</f>
        <v/>
      </c>
      <c r="N5" s="36" t="n">
        <f aca="false">IF(AND($J5="Текущие",OR(Главная!$F$6="Все",$B5=Главная!$F$6),OR(Главная!$F$7="Все",$C5=Главная!$F$7)),$L5,"")</f>
        <v>10299999005</v>
      </c>
      <c r="O5" s="0" t="str">
        <f aca="false">IF(AND($J5="Плановые",OR(Главная!$F$6="Все",$B5=Главная!$F$6),OR(Главная!$F$7="Все",$C5=Главная!$F$7)),$L5,"")</f>
        <v/>
      </c>
      <c r="P5" s="0" t="str">
        <f aca="false">IF(J5="Выполнено",ROW(),"")</f>
        <v/>
      </c>
    </row>
    <row r="6" customFormat="false" ht="21.75" hidden="false" customHeight="true" outlineLevel="0" collapsed="false">
      <c r="A6" s="31" t="s">
        <v>51</v>
      </c>
      <c r="B6" s="31" t="s">
        <v>48</v>
      </c>
      <c r="C6" s="32" t="s">
        <v>37</v>
      </c>
      <c r="D6" s="32" t="s">
        <v>13</v>
      </c>
      <c r="E6" s="33"/>
      <c r="F6" s="33"/>
      <c r="G6" s="32" t="s">
        <v>45</v>
      </c>
      <c r="H6" s="32" t="s">
        <v>49</v>
      </c>
      <c r="I6" s="31" t="s">
        <v>52</v>
      </c>
      <c r="J6" s="34" t="str">
        <f aca="true">IF(TRIM(A6)="","",IF(D6="Выполнено","Выполнено",IF(OR(C6="Срочно",AND(F6&lt;&gt;"",F6&lt;=TODAY())),"Срочные",IF(OR(D6="Отложено",C6="Низкий",AND(F6&lt;&gt;"",F6&gt;TODAY()+Справочники!$H$2)),"Плановые","Текущие"))))</f>
        <v>Текущие</v>
      </c>
      <c r="K6" s="35" t="str">
        <f aca="true">IF(OR(A6="",D6="Выполнено"),"",IF(F6="",IF(AND(G6&lt;&gt;"",G6&lt;&gt;"Разово"),"↻ "&amp;G6,""),IF(F6&lt;TODAY(),"Просрочено на "&amp;(TODAY()-F6)&amp;" дн.",IF(F6=TODAY(),"Сегодня",IF(F6=TODAY()+1,"Завтра","Через "&amp;(F6-TODAY())&amp;" дн.")))))</f>
        <v>↻ Ежедневно</v>
      </c>
      <c r="L6" s="36" t="n">
        <f aca="true">IF(J6="","",(IF(AND(F6&lt;&gt;"",F6&lt;TODAY()),0,1)*10000000+IFERROR(MATCH(C6,{"Срочно","Высокий","Средний","Низкий"},0),5)*100000+IF(F6="",99999,F6))*1000+ROW())</f>
        <v>10299999006</v>
      </c>
      <c r="M6" s="0" t="str">
        <f aca="false">IF(AND($J6="Срочные",OR(Главная!$F$6="Все",$B6=Главная!$F$6),OR(Главная!$F$7="Все",$C6=Главная!$F$7)),$L6,"")</f>
        <v/>
      </c>
      <c r="N6" s="36" t="n">
        <f aca="false">IF(AND($J6="Текущие",OR(Главная!$F$6="Все",$B6=Главная!$F$6),OR(Главная!$F$7="Все",$C6=Главная!$F$7)),$L6,"")</f>
        <v>10299999006</v>
      </c>
      <c r="O6" s="0" t="str">
        <f aca="false">IF(AND($J6="Плановые",OR(Главная!$F$6="Все",$B6=Главная!$F$6),OR(Главная!$F$7="Все",$C6=Главная!$F$7)),$L6,"")</f>
        <v/>
      </c>
      <c r="P6" s="0" t="str">
        <f aca="false">IF(J6="Выполнено",ROW(),"")</f>
        <v/>
      </c>
    </row>
    <row r="7" customFormat="false" ht="33" hidden="false" customHeight="true" outlineLevel="0" collapsed="false">
      <c r="A7" s="31" t="s">
        <v>53</v>
      </c>
      <c r="B7" s="31" t="s">
        <v>48</v>
      </c>
      <c r="C7" s="32" t="s">
        <v>37</v>
      </c>
      <c r="D7" s="32" t="s">
        <v>54</v>
      </c>
      <c r="E7" s="33"/>
      <c r="F7" s="33"/>
      <c r="G7" s="32" t="s">
        <v>45</v>
      </c>
      <c r="H7" s="32" t="s">
        <v>39</v>
      </c>
      <c r="I7" s="31" t="s">
        <v>55</v>
      </c>
      <c r="J7" s="34" t="str">
        <f aca="true">IF(TRIM(A7)="","",IF(D7="Выполнено","Выполнено",IF(OR(C7="Срочно",AND(F7&lt;&gt;"",F7&lt;=TODAY())),"Срочные",IF(OR(D7="Отложено",C7="Низкий",AND(F7&lt;&gt;"",F7&gt;TODAY()+Справочники!$H$2)),"Плановые","Текущие"))))</f>
        <v>Текущие</v>
      </c>
      <c r="K7" s="35" t="str">
        <f aca="true">IF(OR(A7="",D7="Выполнено"),"",IF(F7="",IF(AND(G7&lt;&gt;"",G7&lt;&gt;"Разово"),"↻ "&amp;G7,""),IF(F7&lt;TODAY(),"Просрочено на "&amp;(TODAY()-F7)&amp;" дн.",IF(F7=TODAY(),"Сегодня",IF(F7=TODAY()+1,"Завтра","Через "&amp;(F7-TODAY())&amp;" дн.")))))</f>
        <v>↻ Ежедневно</v>
      </c>
      <c r="L7" s="36" t="n">
        <f aca="true">IF(J7="","",(IF(AND(F7&lt;&gt;"",F7&lt;TODAY()),0,1)*10000000+IFERROR(MATCH(C7,{"Срочно","Высокий","Средний","Низкий"},0),5)*100000+IF(F7="",99999,F7))*1000+ROW())</f>
        <v>10299999007</v>
      </c>
      <c r="M7" s="0" t="str">
        <f aca="false">IF(AND($J7="Срочные",OR(Главная!$F$6="Все",$B7=Главная!$F$6),OR(Главная!$F$7="Все",$C7=Главная!$F$7)),$L7,"")</f>
        <v/>
      </c>
      <c r="N7" s="36" t="n">
        <f aca="false">IF(AND($J7="Текущие",OR(Главная!$F$6="Все",$B7=Главная!$F$6),OR(Главная!$F$7="Все",$C7=Главная!$F$7)),$L7,"")</f>
        <v>10299999007</v>
      </c>
      <c r="O7" s="0" t="str">
        <f aca="false">IF(AND($J7="Плановые",OR(Главная!$F$6="Все",$B7=Главная!$F$6),OR(Главная!$F$7="Все",$C7=Главная!$F$7)),$L7,"")</f>
        <v/>
      </c>
      <c r="P7" s="0" t="str">
        <f aca="false">IF(J7="Выполнено",ROW(),"")</f>
        <v/>
      </c>
    </row>
    <row r="8" customFormat="false" ht="21.75" hidden="false" customHeight="true" outlineLevel="0" collapsed="false">
      <c r="A8" s="31" t="s">
        <v>56</v>
      </c>
      <c r="B8" s="31" t="s">
        <v>48</v>
      </c>
      <c r="C8" s="32" t="s">
        <v>37</v>
      </c>
      <c r="D8" s="32" t="s">
        <v>54</v>
      </c>
      <c r="E8" s="33"/>
      <c r="F8" s="33"/>
      <c r="G8" s="32" t="s">
        <v>45</v>
      </c>
      <c r="H8" s="32" t="s">
        <v>49</v>
      </c>
      <c r="I8" s="31" t="s">
        <v>52</v>
      </c>
      <c r="J8" s="34" t="str">
        <f aca="true">IF(TRIM(A8)="","",IF(D8="Выполнено","Выполнено",IF(OR(C8="Срочно",AND(F8&lt;&gt;"",F8&lt;=TODAY())),"Срочные",IF(OR(D8="Отложено",C8="Низкий",AND(F8&lt;&gt;"",F8&gt;TODAY()+Справочники!$H$2)),"Плановые","Текущие"))))</f>
        <v>Текущие</v>
      </c>
      <c r="K8" s="35" t="str">
        <f aca="true">IF(OR(A8="",D8="Выполнено"),"",IF(F8="",IF(AND(G8&lt;&gt;"",G8&lt;&gt;"Разово"),"↻ "&amp;G8,""),IF(F8&lt;TODAY(),"Просрочено на "&amp;(TODAY()-F8)&amp;" дн.",IF(F8=TODAY(),"Сегодня",IF(F8=TODAY()+1,"Завтра","Через "&amp;(F8-TODAY())&amp;" дн.")))))</f>
        <v>↻ Ежедневно</v>
      </c>
      <c r="L8" s="36" t="n">
        <f aca="true">IF(J8="","",(IF(AND(F8&lt;&gt;"",F8&lt;TODAY()),0,1)*10000000+IFERROR(MATCH(C8,{"Срочно","Высокий","Средний","Низкий"},0),5)*100000+IF(F8="",99999,F8))*1000+ROW())</f>
        <v>10299999008</v>
      </c>
      <c r="M8" s="0" t="str">
        <f aca="false">IF(AND($J8="Срочные",OR(Главная!$F$6="Все",$B8=Главная!$F$6),OR(Главная!$F$7="Все",$C8=Главная!$F$7)),$L8,"")</f>
        <v/>
      </c>
      <c r="N8" s="36" t="n">
        <f aca="false">IF(AND($J8="Текущие",OR(Главная!$F$6="Все",$B8=Главная!$F$6),OR(Главная!$F$7="Все",$C8=Главная!$F$7)),$L8,"")</f>
        <v>10299999008</v>
      </c>
      <c r="O8" s="0" t="str">
        <f aca="false">IF(AND($J8="Плановые",OR(Главная!$F$6="Все",$B8=Главная!$F$6),OR(Главная!$F$7="Все",$C8=Главная!$F$7)),$L8,"")</f>
        <v/>
      </c>
      <c r="P8" s="0" t="str">
        <f aca="false">IF(J8="Выполнено",ROW(),"")</f>
        <v/>
      </c>
    </row>
    <row r="9" customFormat="false" ht="21.75" hidden="false" customHeight="true" outlineLevel="0" collapsed="false">
      <c r="A9" s="31" t="s">
        <v>57</v>
      </c>
      <c r="B9" s="31" t="s">
        <v>48</v>
      </c>
      <c r="C9" s="32" t="s">
        <v>37</v>
      </c>
      <c r="D9" s="32" t="s">
        <v>17</v>
      </c>
      <c r="E9" s="33"/>
      <c r="F9" s="33" t="n">
        <v>46301</v>
      </c>
      <c r="G9" s="32" t="s">
        <v>41</v>
      </c>
      <c r="H9" s="32" t="s">
        <v>49</v>
      </c>
      <c r="I9" s="31" t="s">
        <v>58</v>
      </c>
      <c r="J9" s="34" t="str">
        <f aca="true">IF(TRIM(A9)="","",IF(D9="Выполнено","Выполнено",IF(OR(C9="Срочно",AND(F9&lt;&gt;"",F9&lt;=TODAY())),"Срочные",IF(OR(D9="Отложено",C9="Низкий",AND(F9&lt;&gt;"",F9&gt;TODAY()+Справочники!$H$2)),"Плановые","Текущие"))))</f>
        <v>Выполнено</v>
      </c>
      <c r="K9" s="35" t="str">
        <f aca="true">IF(OR(A9="",D9="Выполнено"),"",IF(F9="",IF(AND(G9&lt;&gt;"",G9&lt;&gt;"Разово"),"↻ "&amp;G9,""),IF(F9&lt;TODAY(),"Просрочено на "&amp;(TODAY()-F9)&amp;" дн.",IF(F9=TODAY(),"Сегодня",IF(F9=TODAY()+1,"Завтра","Через "&amp;(F9-TODAY())&amp;" дн.")))))</f>
        <v/>
      </c>
      <c r="L9" s="36" t="n">
        <f aca="true">IF(J9="","",(IF(AND(F9&lt;&gt;"",F9&lt;TODAY()),0,1)*10000000+IFERROR(MATCH(C9,{"Срочно","Высокий","Средний","Низкий"},0),5)*100000+IF(F9="",99999,F9))*1000+ROW())</f>
        <v>10246301009</v>
      </c>
      <c r="M9" s="0" t="str">
        <f aca="false">IF(AND($J9="Срочные",OR(Главная!$F$6="Все",$B9=Главная!$F$6),OR(Главная!$F$7="Все",$C9=Главная!$F$7)),$L9,"")</f>
        <v/>
      </c>
      <c r="N9" s="0" t="str">
        <f aca="false">IF(AND($J9="Текущие",OR(Главная!$F$6="Все",$B9=Главная!$F$6),OR(Главная!$F$7="Все",$C9=Главная!$F$7)),$L9,"")</f>
        <v/>
      </c>
      <c r="O9" s="0" t="str">
        <f aca="false">IF(AND($J9="Плановые",OR(Главная!$F$6="Все",$B9=Главная!$F$6),OR(Главная!$F$7="Все",$C9=Главная!$F$7)),$L9,"")</f>
        <v/>
      </c>
      <c r="P9" s="36" t="n">
        <f aca="false">IF(J9="Выполнено",ROW(),"")</f>
        <v>9</v>
      </c>
    </row>
    <row r="10" customFormat="false" ht="33" hidden="false" customHeight="true" outlineLevel="0" collapsed="false">
      <c r="A10" s="31" t="s">
        <v>59</v>
      </c>
      <c r="B10" s="31" t="s">
        <v>60</v>
      </c>
      <c r="C10" s="32" t="s">
        <v>37</v>
      </c>
      <c r="D10" s="32" t="s">
        <v>61</v>
      </c>
      <c r="E10" s="33"/>
      <c r="F10" s="33"/>
      <c r="G10" s="32" t="s">
        <v>45</v>
      </c>
      <c r="H10" s="32" t="s">
        <v>62</v>
      </c>
      <c r="I10" s="31" t="s">
        <v>63</v>
      </c>
      <c r="J10" s="34" t="str">
        <f aca="true">IF(TRIM(A10)="","",IF(D10="Выполнено","Выполнено",IF(OR(C10="Срочно",AND(F10&lt;&gt;"",F10&lt;=TODAY())),"Срочные",IF(OR(D10="Отложено",C10="Низкий",AND(F10&lt;&gt;"",F10&gt;TODAY()+Справочники!$H$2)),"Плановые","Текущие"))))</f>
        <v>Плановые</v>
      </c>
      <c r="K10" s="35" t="str">
        <f aca="true">IF(OR(A10="",D10="Выполнено"),"",IF(F10="",IF(AND(G10&lt;&gt;"",G10&lt;&gt;"Разово"),"↻ "&amp;G10,""),IF(F10&lt;TODAY(),"Просрочено на "&amp;(TODAY()-F10)&amp;" дн.",IF(F10=TODAY(),"Сегодня",IF(F10=TODAY()+1,"Завтра","Через "&amp;(F10-TODAY())&amp;" дн.")))))</f>
        <v>↻ Ежедневно</v>
      </c>
      <c r="L10" s="36" t="n">
        <f aca="true">IF(J10="","",(IF(AND(F10&lt;&gt;"",F10&lt;TODAY()),0,1)*10000000+IFERROR(MATCH(C10,{"Срочно","Высокий","Средний","Низкий"},0),5)*100000+IF(F10="",99999,F10))*1000+ROW())</f>
        <v>10299999010</v>
      </c>
      <c r="M10" s="0" t="str">
        <f aca="false">IF(AND($J10="Срочные",OR(Главная!$F$6="Все",$B10=Главная!$F$6),OR(Главная!$F$7="Все",$C10=Главная!$F$7)),$L10,"")</f>
        <v/>
      </c>
      <c r="N10" s="0" t="str">
        <f aca="false">IF(AND($J10="Текущие",OR(Главная!$F$6="Все",$B10=Главная!$F$6),OR(Главная!$F$7="Все",$C10=Главная!$F$7)),$L10,"")</f>
        <v/>
      </c>
      <c r="O10" s="36" t="n">
        <f aca="false">IF(AND($J10="Плановые",OR(Главная!$F$6="Все",$B10=Главная!$F$6),OR(Главная!$F$7="Все",$C10=Главная!$F$7)),$L10,"")</f>
        <v>10299999010</v>
      </c>
      <c r="P10" s="0" t="str">
        <f aca="false">IF(J10="Выполнено",ROW(),"")</f>
        <v/>
      </c>
    </row>
    <row r="11" customFormat="false" ht="21.75" hidden="false" customHeight="true" outlineLevel="0" collapsed="false">
      <c r="A11" s="31" t="s">
        <v>64</v>
      </c>
      <c r="B11" s="31" t="s">
        <v>65</v>
      </c>
      <c r="C11" s="32" t="s">
        <v>66</v>
      </c>
      <c r="D11" s="32" t="s">
        <v>13</v>
      </c>
      <c r="E11" s="33"/>
      <c r="F11" s="33" t="n">
        <v>46301</v>
      </c>
      <c r="G11" s="32" t="s">
        <v>41</v>
      </c>
      <c r="H11" s="32" t="s">
        <v>67</v>
      </c>
      <c r="I11" s="31" t="s">
        <v>68</v>
      </c>
      <c r="J11" s="34" t="str">
        <f aca="true">IF(TRIM(A11)="","",IF(D11="Выполнено","Выполнено",IF(OR(C11="Срочно",AND(F11&lt;&gt;"",F11&lt;=TODAY())),"Срочные",IF(OR(D11="Отложено",C11="Низкий",AND(F11&lt;&gt;"",F11&gt;TODAY()+Справочники!$H$2)),"Плановые","Текущие"))))</f>
        <v>Срочные</v>
      </c>
      <c r="K11" s="35" t="str">
        <f aca="true">IF(OR(A11="",D11="Выполнено"),"",IF(F11="",IF(AND(G11&lt;&gt;"",G11&lt;&gt;"Разово"),"↻ "&amp;G11,""),IF(F11&lt;TODAY(),"Просрочено на "&amp;(TODAY()-F11)&amp;" дн.",IF(F11=TODAY(),"Сегодня",IF(F11=TODAY()+1,"Завтра","Через "&amp;(F11-TODAY())&amp;" дн.")))))</f>
        <v>Сегодня</v>
      </c>
      <c r="L11" s="36" t="n">
        <f aca="true">IF(J11="","",(IF(AND(F11&lt;&gt;"",F11&lt;TODAY()),0,1)*10000000+IFERROR(MATCH(C11,{"Срочно","Высокий","Средний","Низкий"},0),5)*100000+IF(F11="",99999,F11))*1000+ROW())</f>
        <v>10146301011</v>
      </c>
      <c r="M11" s="36" t="n">
        <f aca="false">IF(AND($J11="Срочные",OR(Главная!$F$6="Все",$B11=Главная!$F$6),OR(Главная!$F$7="Все",$C11=Главная!$F$7)),$L11,"")</f>
        <v>10146301011</v>
      </c>
      <c r="N11" s="0" t="str">
        <f aca="false">IF(AND($J11="Текущие",OR(Главная!$F$6="Все",$B11=Главная!$F$6),OR(Главная!$F$7="Все",$C11=Главная!$F$7)),$L11,"")</f>
        <v/>
      </c>
      <c r="O11" s="0" t="str">
        <f aca="false">IF(AND($J11="Плановые",OR(Главная!$F$6="Все",$B11=Главная!$F$6),OR(Главная!$F$7="Все",$C11=Главная!$F$7)),$L11,"")</f>
        <v/>
      </c>
      <c r="P11" s="0" t="str">
        <f aca="false">IF(J11="Выполнено",ROW(),"")</f>
        <v/>
      </c>
    </row>
    <row r="12" customFormat="false" ht="21.75" hidden="false" customHeight="true" outlineLevel="0" collapsed="false">
      <c r="A12" s="31" t="s">
        <v>69</v>
      </c>
      <c r="B12" s="31" t="s">
        <v>70</v>
      </c>
      <c r="C12" s="32" t="s">
        <v>66</v>
      </c>
      <c r="D12" s="32" t="s">
        <v>17</v>
      </c>
      <c r="E12" s="33"/>
      <c r="F12" s="33" t="n">
        <v>46301</v>
      </c>
      <c r="G12" s="32" t="s">
        <v>41</v>
      </c>
      <c r="H12" s="32" t="s">
        <v>67</v>
      </c>
      <c r="I12" s="31"/>
      <c r="J12" s="34" t="str">
        <f aca="true">IF(TRIM(A12)="","",IF(D12="Выполнено","Выполнено",IF(OR(C12="Срочно",AND(F12&lt;&gt;"",F12&lt;=TODAY())),"Срочные",IF(OR(D12="Отложено",C12="Низкий",AND(F12&lt;&gt;"",F12&gt;TODAY()+Справочники!$H$2)),"Плановые","Текущие"))))</f>
        <v>Выполнено</v>
      </c>
      <c r="K12" s="35" t="str">
        <f aca="true">IF(OR(A12="",D12="Выполнено"),"",IF(F12="",IF(AND(G12&lt;&gt;"",G12&lt;&gt;"Разово"),"↻ "&amp;G12,""),IF(F12&lt;TODAY(),"Просрочено на "&amp;(TODAY()-F12)&amp;" дн.",IF(F12=TODAY(),"Сегодня",IF(F12=TODAY()+1,"Завтра","Через "&amp;(F12-TODAY())&amp;" дн.")))))</f>
        <v/>
      </c>
      <c r="L12" s="36" t="n">
        <f aca="true">IF(J12="","",(IF(AND(F12&lt;&gt;"",F12&lt;TODAY()),0,1)*10000000+IFERROR(MATCH(C12,{"Срочно","Высокий","Средний","Низкий"},0),5)*100000+IF(F12="",99999,F12))*1000+ROW())</f>
        <v>10146301012</v>
      </c>
      <c r="M12" s="0" t="str">
        <f aca="false">IF(AND($J12="Срочные",OR(Главная!$F$6="Все",$B12=Главная!$F$6),OR(Главная!$F$7="Все",$C12=Главная!$F$7)),$L12,"")</f>
        <v/>
      </c>
      <c r="N12" s="0" t="str">
        <f aca="false">IF(AND($J12="Текущие",OR(Главная!$F$6="Все",$B12=Главная!$F$6),OR(Главная!$F$7="Все",$C12=Главная!$F$7)),$L12,"")</f>
        <v/>
      </c>
      <c r="O12" s="0" t="str">
        <f aca="false">IF(AND($J12="Плановые",OR(Главная!$F$6="Все",$B12=Главная!$F$6),OR(Главная!$F$7="Все",$C12=Главная!$F$7)),$L12,"")</f>
        <v/>
      </c>
      <c r="P12" s="36" t="n">
        <f aca="false">IF(J12="Выполнено",ROW(),"")</f>
        <v>12</v>
      </c>
    </row>
    <row r="13" customFormat="false" ht="21.75" hidden="false" customHeight="true" outlineLevel="0" collapsed="false">
      <c r="A13" s="31" t="s">
        <v>71</v>
      </c>
      <c r="B13" s="31" t="s">
        <v>72</v>
      </c>
      <c r="C13" s="32" t="s">
        <v>73</v>
      </c>
      <c r="D13" s="32" t="s">
        <v>54</v>
      </c>
      <c r="E13" s="33"/>
      <c r="F13" s="33" t="n">
        <v>46301</v>
      </c>
      <c r="G13" s="32" t="s">
        <v>41</v>
      </c>
      <c r="H13" s="32" t="s">
        <v>67</v>
      </c>
      <c r="I13" s="31"/>
      <c r="J13" s="34" t="str">
        <f aca="true">IF(TRIM(A13)="","",IF(D13="Выполнено","Выполнено",IF(OR(C13="Срочно",AND(F13&lt;&gt;"",F13&lt;=TODAY())),"Срочные",IF(OR(D13="Отложено",C13="Низкий",AND(F13&lt;&gt;"",F13&gt;TODAY()+Справочники!$H$2)),"Плановые","Текущие"))))</f>
        <v>Срочные</v>
      </c>
      <c r="K13" s="35" t="str">
        <f aca="true">IF(OR(A13="",D13="Выполнено"),"",IF(F13="",IF(AND(G13&lt;&gt;"",G13&lt;&gt;"Разово"),"↻ "&amp;G13,""),IF(F13&lt;TODAY(),"Просрочено на "&amp;(TODAY()-F13)&amp;" дн.",IF(F13=TODAY(),"Сегодня",IF(F13=TODAY()+1,"Завтра","Через "&amp;(F13-TODAY())&amp;" дн.")))))</f>
        <v>Сегодня</v>
      </c>
      <c r="L13" s="36" t="n">
        <f aca="true">IF(J13="","",(IF(AND(F13&lt;&gt;"",F13&lt;TODAY()),0,1)*10000000+IFERROR(MATCH(C13,{"Срочно","Высокий","Средний","Низкий"},0),5)*100000+IF(F13="",99999,F13))*1000+ROW())</f>
        <v>10346301013</v>
      </c>
      <c r="M13" s="36" t="n">
        <f aca="false">IF(AND($J13="Срочные",OR(Главная!$F$6="Все",$B13=Главная!$F$6),OR(Главная!$F$7="Все",$C13=Главная!$F$7)),$L13,"")</f>
        <v>10346301013</v>
      </c>
      <c r="N13" s="0" t="str">
        <f aca="false">IF(AND($J13="Текущие",OR(Главная!$F$6="Все",$B13=Главная!$F$6),OR(Главная!$F$7="Все",$C13=Главная!$F$7)),$L13,"")</f>
        <v/>
      </c>
      <c r="O13" s="0" t="str">
        <f aca="false">IF(AND($J13="Плановые",OR(Главная!$F$6="Все",$B13=Главная!$F$6),OR(Главная!$F$7="Все",$C13=Главная!$F$7)),$L13,"")</f>
        <v/>
      </c>
      <c r="P13" s="0" t="str">
        <f aca="false">IF(J13="Выполнено",ROW(),"")</f>
        <v/>
      </c>
    </row>
    <row r="14" customFormat="false" ht="21.75" hidden="false" customHeight="true" outlineLevel="0" collapsed="false">
      <c r="A14" s="31" t="s">
        <v>74</v>
      </c>
      <c r="B14" s="31" t="s">
        <v>72</v>
      </c>
      <c r="C14" s="32" t="s">
        <v>73</v>
      </c>
      <c r="D14" s="32" t="s">
        <v>54</v>
      </c>
      <c r="E14" s="33"/>
      <c r="F14" s="33" t="n">
        <v>46302</v>
      </c>
      <c r="G14" s="32" t="s">
        <v>41</v>
      </c>
      <c r="H14" s="32" t="s">
        <v>42</v>
      </c>
      <c r="I14" s="31"/>
      <c r="J14" s="34" t="str">
        <f aca="true">IF(TRIM(A14)="","",IF(D14="Выполнено","Выполнено",IF(OR(C14="Срочно",AND(F14&lt;&gt;"",F14&lt;=TODAY())),"Срочные",IF(OR(D14="Отложено",C14="Низкий",AND(F14&lt;&gt;"",F14&gt;TODAY()+Справочники!$H$2)),"Плановые","Текущие"))))</f>
        <v>Текущие</v>
      </c>
      <c r="K14" s="35" t="str">
        <f aca="true">IF(OR(A14="",D14="Выполнено"),"",IF(F14="",IF(AND(G14&lt;&gt;"",G14&lt;&gt;"Разово"),"↻ "&amp;G14,""),IF(F14&lt;TODAY(),"Просрочено на "&amp;(TODAY()-F14)&amp;" дн.",IF(F14=TODAY(),"Сегодня",IF(F14=TODAY()+1,"Завтра","Через "&amp;(F14-TODAY())&amp;" дн.")))))</f>
        <v>Завтра</v>
      </c>
      <c r="L14" s="36" t="n">
        <f aca="true">IF(J14="","",(IF(AND(F14&lt;&gt;"",F14&lt;TODAY()),0,1)*10000000+IFERROR(MATCH(C14,{"Срочно","Высокий","Средний","Низкий"},0),5)*100000+IF(F14="",99999,F14))*1000+ROW())</f>
        <v>10346302014</v>
      </c>
      <c r="M14" s="0" t="str">
        <f aca="false">IF(AND($J14="Срочные",OR(Главная!$F$6="Все",$B14=Главная!$F$6),OR(Главная!$F$7="Все",$C14=Главная!$F$7)),$L14,"")</f>
        <v/>
      </c>
      <c r="N14" s="36" t="n">
        <f aca="false">IF(AND($J14="Текущие",OR(Главная!$F$6="Все",$B14=Главная!$F$6),OR(Главная!$F$7="Все",$C14=Главная!$F$7)),$L14,"")</f>
        <v>10346302014</v>
      </c>
      <c r="O14" s="0" t="str">
        <f aca="false">IF(AND($J14="Плановые",OR(Главная!$F$6="Все",$B14=Главная!$F$6),OR(Главная!$F$7="Все",$C14=Главная!$F$7)),$L14,"")</f>
        <v/>
      </c>
      <c r="P14" s="0" t="str">
        <f aca="false">IF(J14="Выполнено",ROW(),"")</f>
        <v/>
      </c>
    </row>
    <row r="15" customFormat="false" ht="21.75" hidden="false" customHeight="true" outlineLevel="0" collapsed="false">
      <c r="A15" s="31" t="s">
        <v>75</v>
      </c>
      <c r="B15" s="31" t="s">
        <v>76</v>
      </c>
      <c r="C15" s="32" t="s">
        <v>73</v>
      </c>
      <c r="D15" s="32" t="s">
        <v>54</v>
      </c>
      <c r="E15" s="33"/>
      <c r="F15" s="33" t="n">
        <v>46302</v>
      </c>
      <c r="G15" s="32" t="s">
        <v>41</v>
      </c>
      <c r="H15" s="32" t="s">
        <v>77</v>
      </c>
      <c r="I15" s="31" t="s">
        <v>78</v>
      </c>
      <c r="J15" s="34" t="str">
        <f aca="true">IF(TRIM(A15)="","",IF(D15="Выполнено","Выполнено",IF(OR(C15="Срочно",AND(F15&lt;&gt;"",F15&lt;=TODAY())),"Срочные",IF(OR(D15="Отложено",C15="Низкий",AND(F15&lt;&gt;"",F15&gt;TODAY()+Справочники!$H$2)),"Плановые","Текущие"))))</f>
        <v>Текущие</v>
      </c>
      <c r="K15" s="35" t="str">
        <f aca="true">IF(OR(A15="",D15="Выполнено"),"",IF(F15="",IF(AND(G15&lt;&gt;"",G15&lt;&gt;"Разово"),"↻ "&amp;G15,""),IF(F15&lt;TODAY(),"Просрочено на "&amp;(TODAY()-F15)&amp;" дн.",IF(F15=TODAY(),"Сегодня",IF(F15=TODAY()+1,"Завтра","Через "&amp;(F15-TODAY())&amp;" дн.")))))</f>
        <v>Завтра</v>
      </c>
      <c r="L15" s="36" t="n">
        <f aca="true">IF(J15="","",(IF(AND(F15&lt;&gt;"",F15&lt;TODAY()),0,1)*10000000+IFERROR(MATCH(C15,{"Срочно","Высокий","Средний","Низкий"},0),5)*100000+IF(F15="",99999,F15))*1000+ROW())</f>
        <v>10346302015</v>
      </c>
      <c r="M15" s="0" t="str">
        <f aca="false">IF(AND($J15="Срочные",OR(Главная!$F$6="Все",$B15=Главная!$F$6),OR(Главная!$F$7="Все",$C15=Главная!$F$7)),$L15,"")</f>
        <v/>
      </c>
      <c r="N15" s="36" t="n">
        <f aca="false">IF(AND($J15="Текущие",OR(Главная!$F$6="Все",$B15=Главная!$F$6),OR(Главная!$F$7="Все",$C15=Главная!$F$7)),$L15,"")</f>
        <v>10346302015</v>
      </c>
      <c r="O15" s="0" t="str">
        <f aca="false">IF(AND($J15="Плановые",OR(Главная!$F$6="Все",$B15=Главная!$F$6),OR(Главная!$F$7="Все",$C15=Главная!$F$7)),$L15,"")</f>
        <v/>
      </c>
      <c r="P15" s="0" t="str">
        <f aca="false">IF(J15="Выполнено",ROW(),"")</f>
        <v/>
      </c>
    </row>
    <row r="16" customFormat="false" ht="21.75" hidden="false" customHeight="true" outlineLevel="0" collapsed="false">
      <c r="A16" s="31" t="s">
        <v>79</v>
      </c>
      <c r="B16" s="31" t="s">
        <v>76</v>
      </c>
      <c r="C16" s="32" t="s">
        <v>37</v>
      </c>
      <c r="D16" s="32" t="s">
        <v>13</v>
      </c>
      <c r="E16" s="33"/>
      <c r="F16" s="33" t="n">
        <v>46301</v>
      </c>
      <c r="G16" s="32" t="s">
        <v>41</v>
      </c>
      <c r="H16" s="32" t="s">
        <v>49</v>
      </c>
      <c r="I16" s="31" t="s">
        <v>80</v>
      </c>
      <c r="J16" s="34" t="str">
        <f aca="true">IF(TRIM(A16)="","",IF(D16="Выполнено","Выполнено",IF(OR(C16="Срочно",AND(F16&lt;&gt;"",F16&lt;=TODAY())),"Срочные",IF(OR(D16="Отложено",C16="Низкий",AND(F16&lt;&gt;"",F16&gt;TODAY()+Справочники!$H$2)),"Плановые","Текущие"))))</f>
        <v>Срочные</v>
      </c>
      <c r="K16" s="35" t="str">
        <f aca="true">IF(OR(A16="",D16="Выполнено"),"",IF(F16="",IF(AND(G16&lt;&gt;"",G16&lt;&gt;"Разово"),"↻ "&amp;G16,""),IF(F16&lt;TODAY(),"Просрочено на "&amp;(TODAY()-F16)&amp;" дн.",IF(F16=TODAY(),"Сегодня",IF(F16=TODAY()+1,"Завтра","Через "&amp;(F16-TODAY())&amp;" дн.")))))</f>
        <v>Сегодня</v>
      </c>
      <c r="L16" s="36" t="n">
        <f aca="true">IF(J16="","",(IF(AND(F16&lt;&gt;"",F16&lt;TODAY()),0,1)*10000000+IFERROR(MATCH(C16,{"Срочно","Высокий","Средний","Низкий"},0),5)*100000+IF(F16="",99999,F16))*1000+ROW())</f>
        <v>10246301016</v>
      </c>
      <c r="M16" s="36" t="n">
        <f aca="false">IF(AND($J16="Срочные",OR(Главная!$F$6="Все",$B16=Главная!$F$6),OR(Главная!$F$7="Все",$C16=Главная!$F$7)),$L16,"")</f>
        <v>10246301016</v>
      </c>
      <c r="N16" s="0" t="str">
        <f aca="false">IF(AND($J16="Текущие",OR(Главная!$F$6="Все",$B16=Главная!$F$6),OR(Главная!$F$7="Все",$C16=Главная!$F$7)),$L16,"")</f>
        <v/>
      </c>
      <c r="O16" s="0" t="str">
        <f aca="false">IF(AND($J16="Плановые",OR(Главная!$F$6="Все",$B16=Главная!$F$6),OR(Главная!$F$7="Все",$C16=Главная!$F$7)),$L16,"")</f>
        <v/>
      </c>
      <c r="P16" s="0" t="str">
        <f aca="false">IF(J16="Выполнено",ROW(),"")</f>
        <v/>
      </c>
    </row>
    <row r="17" customFormat="false" ht="46.5" hidden="false" customHeight="true" outlineLevel="0" collapsed="false">
      <c r="A17" s="31" t="s">
        <v>81</v>
      </c>
      <c r="B17" s="31" t="s">
        <v>65</v>
      </c>
      <c r="C17" s="32" t="s">
        <v>66</v>
      </c>
      <c r="D17" s="32" t="s">
        <v>17</v>
      </c>
      <c r="E17" s="33"/>
      <c r="F17" s="33" t="n">
        <v>46302</v>
      </c>
      <c r="G17" s="32" t="s">
        <v>41</v>
      </c>
      <c r="H17" s="32" t="s">
        <v>39</v>
      </c>
      <c r="I17" s="31" t="s">
        <v>82</v>
      </c>
      <c r="J17" s="34" t="str">
        <f aca="true">IF(TRIM(A17)="","",IF(D17="Выполнено","Выполнено",IF(OR(C17="Срочно",AND(F17&lt;&gt;"",F17&lt;=TODAY())),"Срочные",IF(OR(D17="Отложено",C17="Низкий",AND(F17&lt;&gt;"",F17&gt;TODAY()+Справочники!$H$2)),"Плановые","Текущие"))))</f>
        <v>Выполнено</v>
      </c>
      <c r="K17" s="35" t="str">
        <f aca="true">IF(OR(A17="",D17="Выполнено"),"",IF(F17="",IF(AND(G17&lt;&gt;"",G17&lt;&gt;"Разово"),"↻ "&amp;G17,""),IF(F17&lt;TODAY(),"Просрочено на "&amp;(TODAY()-F17)&amp;" дн.",IF(F17=TODAY(),"Сегодня",IF(F17=TODAY()+1,"Завтра","Через "&amp;(F17-TODAY())&amp;" дн.")))))</f>
        <v/>
      </c>
      <c r="L17" s="36" t="n">
        <f aca="true">IF(J17="","",(IF(AND(F17&lt;&gt;"",F17&lt;TODAY()),0,1)*10000000+IFERROR(MATCH(C17,{"Срочно","Высокий","Средний","Низкий"},0),5)*100000+IF(F17="",99999,F17))*1000+ROW())</f>
        <v>10146302017</v>
      </c>
      <c r="M17" s="0" t="str">
        <f aca="false">IF(AND($J17="Срочные",OR(Главная!$F$6="Все",$B17=Главная!$F$6),OR(Главная!$F$7="Все",$C17=Главная!$F$7)),$L17,"")</f>
        <v/>
      </c>
      <c r="N17" s="0" t="str">
        <f aca="false">IF(AND($J17="Текущие",OR(Главная!$F$6="Все",$B17=Главная!$F$6),OR(Главная!$F$7="Все",$C17=Главная!$F$7)),$L17,"")</f>
        <v/>
      </c>
      <c r="O17" s="0" t="str">
        <f aca="false">IF(AND($J17="Плановые",OR(Главная!$F$6="Все",$B17=Главная!$F$6),OR(Главная!$F$7="Все",$C17=Главная!$F$7)),$L17,"")</f>
        <v/>
      </c>
      <c r="P17" s="36" t="n">
        <f aca="false">IF(J17="Выполнено",ROW(),"")</f>
        <v>17</v>
      </c>
    </row>
    <row r="18" customFormat="false" ht="21.75" hidden="false" customHeight="true" outlineLevel="0" collapsed="false">
      <c r="A18" s="31" t="s">
        <v>83</v>
      </c>
      <c r="B18" s="31" t="s">
        <v>65</v>
      </c>
      <c r="C18" s="32"/>
      <c r="D18" s="32" t="s">
        <v>54</v>
      </c>
      <c r="E18" s="33"/>
      <c r="F18" s="33"/>
      <c r="G18" s="32" t="s">
        <v>41</v>
      </c>
      <c r="H18" s="32"/>
      <c r="I18" s="31"/>
      <c r="J18" s="34" t="str">
        <f aca="true">IF(TRIM(A18)="","",IF(D18="Выполнено","Выполнено",IF(OR(C18="Срочно",AND(F18&lt;&gt;"",F18&lt;=TODAY())),"Срочные",IF(OR(D18="Отложено",C18="Низкий",AND(F18&lt;&gt;"",F18&gt;TODAY()+Справочники!$H$2)),"Плановые","Текущие"))))</f>
        <v>Текущие</v>
      </c>
      <c r="K18" s="35" t="str">
        <f aca="true">IF(OR(A18="",D18="Выполнено"),"",IF(F18="",IF(AND(G18&lt;&gt;"",G18&lt;&gt;"Разово"),"↻ "&amp;G18,""),IF(F18&lt;TODAY(),"Просрочено на "&amp;(TODAY()-F18)&amp;" дн.",IF(F18=TODAY(),"Сегодня",IF(F18=TODAY()+1,"Завтра","Через "&amp;(F18-TODAY())&amp;" дн.")))))</f>
        <v/>
      </c>
      <c r="L18" s="36" t="n">
        <f aca="true">IF(J18="","",(IF(AND(F18&lt;&gt;"",F18&lt;TODAY()),0,1)*10000000+IFERROR(MATCH(C18,{"Срочно","Высокий","Средний","Низкий"},0),5)*100000+IF(F18="",99999,F18))*1000+ROW())</f>
        <v>10599999018</v>
      </c>
      <c r="M18" s="0" t="str">
        <f aca="false">IF(AND($J18="Срочные",OR(Главная!$F$6="Все",$B18=Главная!$F$6),OR(Главная!$F$7="Все",$C18=Главная!$F$7)),$L18,"")</f>
        <v/>
      </c>
      <c r="N18" s="36" t="n">
        <f aca="false">IF(AND($J18="Текущие",OR(Главная!$F$6="Все",$B18=Главная!$F$6),OR(Главная!$F$7="Все",$C18=Главная!$F$7)),$L18,"")</f>
        <v>10599999018</v>
      </c>
      <c r="O18" s="0" t="str">
        <f aca="false">IF(AND($J18="Плановые",OR(Главная!$F$6="Все",$B18=Главная!$F$6),OR(Главная!$F$7="Все",$C18=Главная!$F$7)),$L18,"")</f>
        <v/>
      </c>
      <c r="P18" s="0" t="str">
        <f aca="false">IF(J18="Выполнено",ROW(),"")</f>
        <v/>
      </c>
    </row>
    <row r="19" customFormat="false" ht="21.75" hidden="false" customHeight="true" outlineLevel="0" collapsed="false">
      <c r="A19" s="31" t="s">
        <v>84</v>
      </c>
      <c r="B19" s="31" t="s">
        <v>76</v>
      </c>
      <c r="C19" s="32" t="s">
        <v>73</v>
      </c>
      <c r="D19" s="32" t="s">
        <v>85</v>
      </c>
      <c r="E19" s="33"/>
      <c r="F19" s="33" t="n">
        <v>46301</v>
      </c>
      <c r="G19" s="32" t="s">
        <v>41</v>
      </c>
      <c r="H19" s="32" t="s">
        <v>86</v>
      </c>
      <c r="I19" s="31"/>
      <c r="J19" s="34" t="str">
        <f aca="true">IF(TRIM(A19)="","",IF(D19="Выполнено","Выполнено",IF(OR(C19="Срочно",AND(F19&lt;&gt;"",F19&lt;=TODAY())),"Срочные",IF(OR(D19="Отложено",C19="Низкий",AND(F19&lt;&gt;"",F19&gt;TODAY()+Справочники!$H$2)),"Плановые","Текущие"))))</f>
        <v>Срочные</v>
      </c>
      <c r="K19" s="35" t="str">
        <f aca="true">IF(OR(A19="",D19="Выполнено"),"",IF(F19="",IF(AND(G19&lt;&gt;"",G19&lt;&gt;"Разово"),"↻ "&amp;G19,""),IF(F19&lt;TODAY(),"Просрочено на "&amp;(TODAY()-F19)&amp;" дн.",IF(F19=TODAY(),"Сегодня",IF(F19=TODAY()+1,"Завтра","Через "&amp;(F19-TODAY())&amp;" дн.")))))</f>
        <v>Сегодня</v>
      </c>
      <c r="L19" s="36" t="n">
        <f aca="true">IF(J19="","",(IF(AND(F19&lt;&gt;"",F19&lt;TODAY()),0,1)*10000000+IFERROR(MATCH(C19,{"Срочно","Высокий","Средний","Низкий"},0),5)*100000+IF(F19="",99999,F19))*1000+ROW())</f>
        <v>10346301019</v>
      </c>
      <c r="M19" s="36" t="n">
        <f aca="false">IF(AND($J19="Срочные",OR(Главная!$F$6="Все",$B19=Главная!$F$6),OR(Главная!$F$7="Все",$C19=Главная!$F$7)),$L19,"")</f>
        <v>10346301019</v>
      </c>
      <c r="N19" s="0" t="str">
        <f aca="false">IF(AND($J19="Текущие",OR(Главная!$F$6="Все",$B19=Главная!$F$6),OR(Главная!$F$7="Все",$C19=Главная!$F$7)),$L19,"")</f>
        <v/>
      </c>
      <c r="O19" s="0" t="str">
        <f aca="false">IF(AND($J19="Плановые",OR(Главная!$F$6="Все",$B19=Главная!$F$6),OR(Главная!$F$7="Все",$C19=Главная!$F$7)),$L19,"")</f>
        <v/>
      </c>
      <c r="P19" s="0" t="str">
        <f aca="false">IF(J19="Выполнено",ROW(),"")</f>
        <v/>
      </c>
    </row>
    <row r="20" customFormat="false" ht="60" hidden="false" customHeight="true" outlineLevel="0" collapsed="false">
      <c r="A20" s="31" t="s">
        <v>87</v>
      </c>
      <c r="B20" s="31" t="s">
        <v>60</v>
      </c>
      <c r="C20" s="32" t="s">
        <v>37</v>
      </c>
      <c r="D20" s="32" t="s">
        <v>54</v>
      </c>
      <c r="E20" s="33"/>
      <c r="F20" s="33" t="n">
        <v>46304</v>
      </c>
      <c r="G20" s="32" t="s">
        <v>41</v>
      </c>
      <c r="H20" s="32" t="s">
        <v>62</v>
      </c>
      <c r="I20" s="31" t="s">
        <v>88</v>
      </c>
      <c r="J20" s="34" t="str">
        <f aca="true">IF(TRIM(A20)="","",IF(D20="Выполнено","Выполнено",IF(OR(C20="Срочно",AND(F20&lt;&gt;"",F20&lt;=TODAY())),"Срочные",IF(OR(D20="Отложено",C20="Низкий",AND(F20&lt;&gt;"",F20&gt;TODAY()+Справочники!$H$2)),"Плановые","Текущие"))))</f>
        <v>Текущие</v>
      </c>
      <c r="K20" s="35" t="str">
        <f aca="true">IF(OR(A20="",D20="Выполнено"),"",IF(F20="",IF(AND(G20&lt;&gt;"",G20&lt;&gt;"Разово"),"↻ "&amp;G20,""),IF(F20&lt;TODAY(),"Просрочено на "&amp;(TODAY()-F20)&amp;" дн.",IF(F20=TODAY(),"Сегодня",IF(F20=TODAY()+1,"Завтра","Через "&amp;(F20-TODAY())&amp;" дн.")))))</f>
        <v>Через 3 дн.</v>
      </c>
      <c r="L20" s="36" t="n">
        <f aca="true">IF(J20="","",(IF(AND(F20&lt;&gt;"",F20&lt;TODAY()),0,1)*10000000+IFERROR(MATCH(C20,{"Срочно","Высокий","Средний","Низкий"},0),5)*100000+IF(F20="",99999,F20))*1000+ROW())</f>
        <v>10246304020</v>
      </c>
      <c r="M20" s="0" t="str">
        <f aca="false">IF(AND($J20="Срочные",OR(Главная!$F$6="Все",$B20=Главная!$F$6),OR(Главная!$F$7="Все",$C20=Главная!$F$7)),$L20,"")</f>
        <v/>
      </c>
      <c r="N20" s="36" t="n">
        <f aca="false">IF(AND($J20="Текущие",OR(Главная!$F$6="Все",$B20=Главная!$F$6),OR(Главная!$F$7="Все",$C20=Главная!$F$7)),$L20,"")</f>
        <v>10246304020</v>
      </c>
      <c r="O20" s="0" t="str">
        <f aca="false">IF(AND($J20="Плановые",OR(Главная!$F$6="Все",$B20=Главная!$F$6),OR(Главная!$F$7="Все",$C20=Главная!$F$7)),$L20,"")</f>
        <v/>
      </c>
      <c r="P20" s="0" t="str">
        <f aca="false">IF(J20="Выполнено",ROW(),"")</f>
        <v/>
      </c>
    </row>
    <row r="21" customFormat="false" ht="33" hidden="false" customHeight="true" outlineLevel="0" collapsed="false">
      <c r="A21" s="31" t="s">
        <v>89</v>
      </c>
      <c r="B21" s="31" t="s">
        <v>65</v>
      </c>
      <c r="C21" s="32" t="s">
        <v>66</v>
      </c>
      <c r="D21" s="32" t="s">
        <v>17</v>
      </c>
      <c r="E21" s="33"/>
      <c r="F21" s="33" t="n">
        <v>46301</v>
      </c>
      <c r="G21" s="32" t="s">
        <v>41</v>
      </c>
      <c r="H21" s="32"/>
      <c r="I21" s="31"/>
      <c r="J21" s="34" t="str">
        <f aca="true">IF(TRIM(A21)="","",IF(D21="Выполнено","Выполнено",IF(OR(C21="Срочно",AND(F21&lt;&gt;"",F21&lt;=TODAY())),"Срочные",IF(OR(D21="Отложено",C21="Низкий",AND(F21&lt;&gt;"",F21&gt;TODAY()+Справочники!$H$2)),"Плановые","Текущие"))))</f>
        <v>Выполнено</v>
      </c>
      <c r="K21" s="35" t="str">
        <f aca="true">IF(OR(A21="",D21="Выполнено"),"",IF(F21="",IF(AND(G21&lt;&gt;"",G21&lt;&gt;"Разово"),"↻ "&amp;G21,""),IF(F21&lt;TODAY(),"Просрочено на "&amp;(TODAY()-F21)&amp;" дн.",IF(F21=TODAY(),"Сегодня",IF(F21=TODAY()+1,"Завтра","Через "&amp;(F21-TODAY())&amp;" дн.")))))</f>
        <v/>
      </c>
      <c r="L21" s="36" t="n">
        <f aca="true">IF(J21="","",(IF(AND(F21&lt;&gt;"",F21&lt;TODAY()),0,1)*10000000+IFERROR(MATCH(C21,{"Срочно","Высокий","Средний","Низкий"},0),5)*100000+IF(F21="",99999,F21))*1000+ROW())</f>
        <v>10146301021</v>
      </c>
      <c r="M21" s="0" t="str">
        <f aca="false">IF(AND($J21="Срочные",OR(Главная!$F$6="Все",$B21=Главная!$F$6),OR(Главная!$F$7="Все",$C21=Главная!$F$7)),$L21,"")</f>
        <v/>
      </c>
      <c r="N21" s="0" t="str">
        <f aca="false">IF(AND($J21="Текущие",OR(Главная!$F$6="Все",$B21=Главная!$F$6),OR(Главная!$F$7="Все",$C21=Главная!$F$7)),$L21,"")</f>
        <v/>
      </c>
      <c r="O21" s="0" t="str">
        <f aca="false">IF(AND($J21="Плановые",OR(Главная!$F$6="Все",$B21=Главная!$F$6),OR(Главная!$F$7="Все",$C21=Главная!$F$7)),$L21,"")</f>
        <v/>
      </c>
      <c r="P21" s="36" t="n">
        <f aca="false">IF(J21="Выполнено",ROW(),"")</f>
        <v>21</v>
      </c>
    </row>
    <row r="22" customFormat="false" ht="21.75" hidden="false" customHeight="true" outlineLevel="0" collapsed="false">
      <c r="A22" s="31" t="s">
        <v>90</v>
      </c>
      <c r="B22" s="31" t="s">
        <v>76</v>
      </c>
      <c r="C22" s="32" t="s">
        <v>37</v>
      </c>
      <c r="D22" s="32" t="s">
        <v>17</v>
      </c>
      <c r="E22" s="33"/>
      <c r="F22" s="33" t="n">
        <v>46301</v>
      </c>
      <c r="G22" s="32" t="s">
        <v>41</v>
      </c>
      <c r="H22" s="32" t="s">
        <v>39</v>
      </c>
      <c r="I22" s="31"/>
      <c r="J22" s="34" t="str">
        <f aca="true">IF(TRIM(A22)="","",IF(D22="Выполнено","Выполнено",IF(OR(C22="Срочно",AND(F22&lt;&gt;"",F22&lt;=TODAY())),"Срочные",IF(OR(D22="Отложено",C22="Низкий",AND(F22&lt;&gt;"",F22&gt;TODAY()+Справочники!$H$2)),"Плановые","Текущие"))))</f>
        <v>Выполнено</v>
      </c>
      <c r="K22" s="35" t="str">
        <f aca="true">IF(OR(A22="",D22="Выполнено"),"",IF(F22="",IF(AND(G22&lt;&gt;"",G22&lt;&gt;"Разово"),"↻ "&amp;G22,""),IF(F22&lt;TODAY(),"Просрочено на "&amp;(TODAY()-F22)&amp;" дн.",IF(F22=TODAY(),"Сегодня",IF(F22=TODAY()+1,"Завтра","Через "&amp;(F22-TODAY())&amp;" дн.")))))</f>
        <v/>
      </c>
      <c r="L22" s="36" t="n">
        <f aca="true">IF(J22="","",(IF(AND(F22&lt;&gt;"",F22&lt;TODAY()),0,1)*10000000+IFERROR(MATCH(C22,{"Срочно","Высокий","Средний","Низкий"},0),5)*100000+IF(F22="",99999,F22))*1000+ROW())</f>
        <v>10246301022</v>
      </c>
      <c r="M22" s="0" t="str">
        <f aca="false">IF(AND($J22="Срочные",OR(Главная!$F$6="Все",$B22=Главная!$F$6),OR(Главная!$F$7="Все",$C22=Главная!$F$7)),$L22,"")</f>
        <v/>
      </c>
      <c r="N22" s="0" t="str">
        <f aca="false">IF(AND($J22="Текущие",OR(Главная!$F$6="Все",$B22=Главная!$F$6),OR(Главная!$F$7="Все",$C22=Главная!$F$7)),$L22,"")</f>
        <v/>
      </c>
      <c r="O22" s="0" t="str">
        <f aca="false">IF(AND($J22="Плановые",OR(Главная!$F$6="Все",$B22=Главная!$F$6),OR(Главная!$F$7="Все",$C22=Главная!$F$7)),$L22,"")</f>
        <v/>
      </c>
      <c r="P22" s="36" t="n">
        <f aca="false">IF(J22="Выполнено",ROW(),"")</f>
        <v>22</v>
      </c>
    </row>
    <row r="23" customFormat="false" ht="21.75" hidden="false" customHeight="true" outlineLevel="0" collapsed="false">
      <c r="A23" s="31" t="s">
        <v>91</v>
      </c>
      <c r="B23" s="31" t="s">
        <v>76</v>
      </c>
      <c r="C23" s="32" t="s">
        <v>66</v>
      </c>
      <c r="D23" s="32" t="s">
        <v>17</v>
      </c>
      <c r="E23" s="33"/>
      <c r="F23" s="33" t="n">
        <v>46302</v>
      </c>
      <c r="G23" s="32" t="s">
        <v>41</v>
      </c>
      <c r="H23" s="32" t="s">
        <v>77</v>
      </c>
      <c r="I23" s="31"/>
      <c r="J23" s="34" t="str">
        <f aca="true">IF(TRIM(A23)="","",IF(D23="Выполнено","Выполнено",IF(OR(C23="Срочно",AND(F23&lt;&gt;"",F23&lt;=TODAY())),"Срочные",IF(OR(D23="Отложено",C23="Низкий",AND(F23&lt;&gt;"",F23&gt;TODAY()+Справочники!$H$2)),"Плановые","Текущие"))))</f>
        <v>Выполнено</v>
      </c>
      <c r="K23" s="35" t="str">
        <f aca="true">IF(OR(A23="",D23="Выполнено"),"",IF(F23="",IF(AND(G23&lt;&gt;"",G23&lt;&gt;"Разово"),"↻ "&amp;G23,""),IF(F23&lt;TODAY(),"Просрочено на "&amp;(TODAY()-F23)&amp;" дн.",IF(F23=TODAY(),"Сегодня",IF(F23=TODAY()+1,"Завтра","Через "&amp;(F23-TODAY())&amp;" дн.")))))</f>
        <v/>
      </c>
      <c r="L23" s="36" t="n">
        <f aca="true">IF(J23="","",(IF(AND(F23&lt;&gt;"",F23&lt;TODAY()),0,1)*10000000+IFERROR(MATCH(C23,{"Срочно","Высокий","Средний","Низкий"},0),5)*100000+IF(F23="",99999,F23))*1000+ROW())</f>
        <v>10146302023</v>
      </c>
      <c r="M23" s="0" t="str">
        <f aca="false">IF(AND($J23="Срочные",OR(Главная!$F$6="Все",$B23=Главная!$F$6),OR(Главная!$F$7="Все",$C23=Главная!$F$7)),$L23,"")</f>
        <v/>
      </c>
      <c r="N23" s="0" t="str">
        <f aca="false">IF(AND($J23="Текущие",OR(Главная!$F$6="Все",$B23=Главная!$F$6),OR(Главная!$F$7="Все",$C23=Главная!$F$7)),$L23,"")</f>
        <v/>
      </c>
      <c r="O23" s="0" t="str">
        <f aca="false">IF(AND($J23="Плановые",OR(Главная!$F$6="Все",$B23=Главная!$F$6),OR(Главная!$F$7="Все",$C23=Главная!$F$7)),$L23,"")</f>
        <v/>
      </c>
      <c r="P23" s="36" t="n">
        <f aca="false">IF(J23="Выполнено",ROW(),"")</f>
        <v>23</v>
      </c>
    </row>
    <row r="24" customFormat="false" ht="33" hidden="false" customHeight="true" outlineLevel="0" collapsed="false">
      <c r="A24" s="31" t="s">
        <v>92</v>
      </c>
      <c r="B24" s="31" t="s">
        <v>65</v>
      </c>
      <c r="C24" s="32" t="s">
        <v>37</v>
      </c>
      <c r="D24" s="32" t="s">
        <v>13</v>
      </c>
      <c r="E24" s="33"/>
      <c r="F24" s="33" t="n">
        <v>46302</v>
      </c>
      <c r="G24" s="32" t="s">
        <v>41</v>
      </c>
      <c r="H24" s="32" t="s">
        <v>77</v>
      </c>
      <c r="I24" s="31" t="s">
        <v>93</v>
      </c>
      <c r="J24" s="34" t="str">
        <f aca="true">IF(TRIM(A24)="","",IF(D24="Выполнено","Выполнено",IF(OR(C24="Срочно",AND(F24&lt;&gt;"",F24&lt;=TODAY())),"Срочные",IF(OR(D24="Отложено",C24="Низкий",AND(F24&lt;&gt;"",F24&gt;TODAY()+Справочники!$H$2)),"Плановые","Текущие"))))</f>
        <v>Текущие</v>
      </c>
      <c r="K24" s="35" t="str">
        <f aca="true">IF(OR(A24="",D24="Выполнено"),"",IF(F24="",IF(AND(G24&lt;&gt;"",G24&lt;&gt;"Разово"),"↻ "&amp;G24,""),IF(F24&lt;TODAY(),"Просрочено на "&amp;(TODAY()-F24)&amp;" дн.",IF(F24=TODAY(),"Сегодня",IF(F24=TODAY()+1,"Завтра","Через "&amp;(F24-TODAY())&amp;" дн.")))))</f>
        <v>Завтра</v>
      </c>
      <c r="L24" s="36" t="n">
        <f aca="true">IF(J24="","",(IF(AND(F24&lt;&gt;"",F24&lt;TODAY()),0,1)*10000000+IFERROR(MATCH(C24,{"Срочно","Высокий","Средний","Низкий"},0),5)*100000+IF(F24="",99999,F24))*1000+ROW())</f>
        <v>10246302024</v>
      </c>
      <c r="M24" s="0" t="str">
        <f aca="false">IF(AND($J24="Срочные",OR(Главная!$F$6="Все",$B24=Главная!$F$6),OR(Главная!$F$7="Все",$C24=Главная!$F$7)),$L24,"")</f>
        <v/>
      </c>
      <c r="N24" s="36" t="n">
        <f aca="false">IF(AND($J24="Текущие",OR(Главная!$F$6="Все",$B24=Главная!$F$6),OR(Главная!$F$7="Все",$C24=Главная!$F$7)),$L24,"")</f>
        <v>10246302024</v>
      </c>
      <c r="O24" s="0" t="str">
        <f aca="false">IF(AND($J24="Плановые",OR(Главная!$F$6="Все",$B24=Главная!$F$6),OR(Главная!$F$7="Все",$C24=Главная!$F$7)),$L24,"")</f>
        <v/>
      </c>
      <c r="P24" s="0" t="str">
        <f aca="false">IF(J24="Выполнено",ROW(),"")</f>
        <v/>
      </c>
    </row>
    <row r="25" customFormat="false" ht="33" hidden="false" customHeight="true" outlineLevel="0" collapsed="false">
      <c r="A25" s="31" t="s">
        <v>94</v>
      </c>
      <c r="B25" s="31" t="s">
        <v>76</v>
      </c>
      <c r="C25" s="32"/>
      <c r="D25" s="32" t="s">
        <v>54</v>
      </c>
      <c r="E25" s="33"/>
      <c r="F25" s="33"/>
      <c r="G25" s="32" t="s">
        <v>41</v>
      </c>
      <c r="H25" s="32"/>
      <c r="I25" s="31"/>
      <c r="J25" s="34" t="str">
        <f aca="true">IF(TRIM(A25)="","",IF(D25="Выполнено","Выполнено",IF(OR(C25="Срочно",AND(F25&lt;&gt;"",F25&lt;=TODAY())),"Срочные",IF(OR(D25="Отложено",C25="Низкий",AND(F25&lt;&gt;"",F25&gt;TODAY()+Справочники!$H$2)),"Плановые","Текущие"))))</f>
        <v>Текущие</v>
      </c>
      <c r="K25" s="35" t="str">
        <f aca="true">IF(OR(A25="",D25="Выполнено"),"",IF(F25="",IF(AND(G25&lt;&gt;"",G25&lt;&gt;"Разово"),"↻ "&amp;G25,""),IF(F25&lt;TODAY(),"Просрочено на "&amp;(TODAY()-F25)&amp;" дн.",IF(F25=TODAY(),"Сегодня",IF(F25=TODAY()+1,"Завтра","Через "&amp;(F25-TODAY())&amp;" дн.")))))</f>
        <v/>
      </c>
      <c r="L25" s="36" t="n">
        <f aca="true">IF(J25="","",(IF(AND(F25&lt;&gt;"",F25&lt;TODAY()),0,1)*10000000+IFERROR(MATCH(C25,{"Срочно","Высокий","Средний","Низкий"},0),5)*100000+IF(F25="",99999,F25))*1000+ROW())</f>
        <v>10599999025</v>
      </c>
      <c r="M25" s="0" t="str">
        <f aca="false">IF(AND($J25="Срочные",OR(Главная!$F$6="Все",$B25=Главная!$F$6),OR(Главная!$F$7="Все",$C25=Главная!$F$7)),$L25,"")</f>
        <v/>
      </c>
      <c r="N25" s="36" t="n">
        <f aca="false">IF(AND($J25="Текущие",OR(Главная!$F$6="Все",$B25=Главная!$F$6),OR(Главная!$F$7="Все",$C25=Главная!$F$7)),$L25,"")</f>
        <v>10599999025</v>
      </c>
      <c r="O25" s="0" t="str">
        <f aca="false">IF(AND($J25="Плановые",OR(Главная!$F$6="Все",$B25=Главная!$F$6),OR(Главная!$F$7="Все",$C25=Главная!$F$7)),$L25,"")</f>
        <v/>
      </c>
      <c r="P25" s="0" t="str">
        <f aca="false">IF(J25="Выполнено",ROW(),"")</f>
        <v/>
      </c>
    </row>
    <row r="26" customFormat="false" ht="33" hidden="false" customHeight="true" outlineLevel="0" collapsed="false">
      <c r="A26" s="31" t="s">
        <v>95</v>
      </c>
      <c r="B26" s="31" t="s">
        <v>65</v>
      </c>
      <c r="C26" s="32" t="s">
        <v>73</v>
      </c>
      <c r="D26" s="32" t="s">
        <v>13</v>
      </c>
      <c r="E26" s="33"/>
      <c r="F26" s="33"/>
      <c r="G26" s="32" t="s">
        <v>45</v>
      </c>
      <c r="H26" s="32" t="s">
        <v>39</v>
      </c>
      <c r="I26" s="31" t="s">
        <v>96</v>
      </c>
      <c r="J26" s="34" t="str">
        <f aca="true">IF(TRIM(A26)="","",IF(D26="Выполнено","Выполнено",IF(OR(C26="Срочно",AND(F26&lt;&gt;"",F26&lt;=TODAY())),"Срочные",IF(OR(D26="Отложено",C26="Низкий",AND(F26&lt;&gt;"",F26&gt;TODAY()+Справочники!$H$2)),"Плановые","Текущие"))))</f>
        <v>Текущие</v>
      </c>
      <c r="K26" s="35" t="str">
        <f aca="true">IF(OR(A26="",D26="Выполнено"),"",IF(F26="",IF(AND(G26&lt;&gt;"",G26&lt;&gt;"Разово"),"↻ "&amp;G26,""),IF(F26&lt;TODAY(),"Просрочено на "&amp;(TODAY()-F26)&amp;" дн.",IF(F26=TODAY(),"Сегодня",IF(F26=TODAY()+1,"Завтра","Через "&amp;(F26-TODAY())&amp;" дн.")))))</f>
        <v>↻ Ежедневно</v>
      </c>
      <c r="L26" s="36" t="n">
        <f aca="true">IF(J26="","",(IF(AND(F26&lt;&gt;"",F26&lt;TODAY()),0,1)*10000000+IFERROR(MATCH(C26,{"Срочно","Высокий","Средний","Низкий"},0),5)*100000+IF(F26="",99999,F26))*1000+ROW())</f>
        <v>10399999026</v>
      </c>
      <c r="M26" s="0" t="str">
        <f aca="false">IF(AND($J26="Срочные",OR(Главная!$F$6="Все",$B26=Главная!$F$6),OR(Главная!$F$7="Все",$C26=Главная!$F$7)),$L26,"")</f>
        <v/>
      </c>
      <c r="N26" s="36" t="n">
        <f aca="false">IF(AND($J26="Текущие",OR(Главная!$F$6="Все",$B26=Главная!$F$6),OR(Главная!$F$7="Все",$C26=Главная!$F$7)),$L26,"")</f>
        <v>10399999026</v>
      </c>
      <c r="O26" s="0" t="str">
        <f aca="false">IF(AND($J26="Плановые",OR(Главная!$F$6="Все",$B26=Главная!$F$6),OR(Главная!$F$7="Все",$C26=Главная!$F$7)),$L26,"")</f>
        <v/>
      </c>
      <c r="P26" s="0" t="str">
        <f aca="false">IF(J26="Выполнено",ROW(),"")</f>
        <v/>
      </c>
    </row>
    <row r="27" customFormat="false" ht="21.75" hidden="false" customHeight="true" outlineLevel="0" collapsed="false">
      <c r="A27" s="31" t="s">
        <v>97</v>
      </c>
      <c r="B27" s="31" t="s">
        <v>60</v>
      </c>
      <c r="C27" s="32" t="s">
        <v>73</v>
      </c>
      <c r="D27" s="32" t="s">
        <v>61</v>
      </c>
      <c r="E27" s="33"/>
      <c r="F27" s="33"/>
      <c r="G27" s="32" t="s">
        <v>41</v>
      </c>
      <c r="H27" s="32" t="s">
        <v>62</v>
      </c>
      <c r="I27" s="31"/>
      <c r="J27" s="34" t="str">
        <f aca="true">IF(TRIM(A27)="","",IF(D27="Выполнено","Выполнено",IF(OR(C27="Срочно",AND(F27&lt;&gt;"",F27&lt;=TODAY())),"Срочные",IF(OR(D27="Отложено",C27="Низкий",AND(F27&lt;&gt;"",F27&gt;TODAY()+Справочники!$H$2)),"Плановые","Текущие"))))</f>
        <v>Плановые</v>
      </c>
      <c r="K27" s="35" t="str">
        <f aca="true">IF(OR(A27="",D27="Выполнено"),"",IF(F27="",IF(AND(G27&lt;&gt;"",G27&lt;&gt;"Разово"),"↻ "&amp;G27,""),IF(F27&lt;TODAY(),"Просрочено на "&amp;(TODAY()-F27)&amp;" дн.",IF(F27=TODAY(),"Сегодня",IF(F27=TODAY()+1,"Завтра","Через "&amp;(F27-TODAY())&amp;" дн.")))))</f>
        <v/>
      </c>
      <c r="L27" s="36" t="n">
        <f aca="true">IF(J27="","",(IF(AND(F27&lt;&gt;"",F27&lt;TODAY()),0,1)*10000000+IFERROR(MATCH(C27,{"Срочно","Высокий","Средний","Низкий"},0),5)*100000+IF(F27="",99999,F27))*1000+ROW())</f>
        <v>10399999027</v>
      </c>
      <c r="M27" s="0" t="str">
        <f aca="false">IF(AND($J27="Срочные",OR(Главная!$F$6="Все",$B27=Главная!$F$6),OR(Главная!$F$7="Все",$C27=Главная!$F$7)),$L27,"")</f>
        <v/>
      </c>
      <c r="N27" s="0" t="str">
        <f aca="false">IF(AND($J27="Текущие",OR(Главная!$F$6="Все",$B27=Главная!$F$6),OR(Главная!$F$7="Все",$C27=Главная!$F$7)),$L27,"")</f>
        <v/>
      </c>
      <c r="O27" s="36" t="n">
        <f aca="false">IF(AND($J27="Плановые",OR(Главная!$F$6="Все",$B27=Главная!$F$6),OR(Главная!$F$7="Все",$C27=Главная!$F$7)),$L27,"")</f>
        <v>10399999027</v>
      </c>
      <c r="P27" s="0" t="str">
        <f aca="false">IF(J27="Выполнено",ROW(),"")</f>
        <v/>
      </c>
    </row>
    <row r="28" customFormat="false" ht="21.75" hidden="false" customHeight="true" outlineLevel="0" collapsed="false">
      <c r="A28" s="31" t="s">
        <v>98</v>
      </c>
      <c r="B28" s="31" t="s">
        <v>65</v>
      </c>
      <c r="C28" s="32" t="s">
        <v>37</v>
      </c>
      <c r="D28" s="32" t="s">
        <v>61</v>
      </c>
      <c r="E28" s="33"/>
      <c r="F28" s="33"/>
      <c r="G28" s="32" t="s">
        <v>41</v>
      </c>
      <c r="H28" s="32"/>
      <c r="I28" s="31"/>
      <c r="J28" s="34" t="str">
        <f aca="true">IF(TRIM(A28)="","",IF(D28="Выполнено","Выполнено",IF(OR(C28="Срочно",AND(F28&lt;&gt;"",F28&lt;=TODAY())),"Срочные",IF(OR(D28="Отложено",C28="Низкий",AND(F28&lt;&gt;"",F28&gt;TODAY()+Справочники!$H$2)),"Плановые","Текущие"))))</f>
        <v>Плановые</v>
      </c>
      <c r="K28" s="35" t="str">
        <f aca="true">IF(OR(A28="",D28="Выполнено"),"",IF(F28="",IF(AND(G28&lt;&gt;"",G28&lt;&gt;"Разово"),"↻ "&amp;G28,""),IF(F28&lt;TODAY(),"Просрочено на "&amp;(TODAY()-F28)&amp;" дн.",IF(F28=TODAY(),"Сегодня",IF(F28=TODAY()+1,"Завтра","Через "&amp;(F28-TODAY())&amp;" дн.")))))</f>
        <v/>
      </c>
      <c r="L28" s="36" t="n">
        <f aca="true">IF(J28="","",(IF(AND(F28&lt;&gt;"",F28&lt;TODAY()),0,1)*10000000+IFERROR(MATCH(C28,{"Срочно","Высокий","Средний","Низкий"},0),5)*100000+IF(F28="",99999,F28))*1000+ROW())</f>
        <v>10299999028</v>
      </c>
      <c r="M28" s="0" t="str">
        <f aca="false">IF(AND($J28="Срочные",OR(Главная!$F$6="Все",$B28=Главная!$F$6),OR(Главная!$F$7="Все",$C28=Главная!$F$7)),$L28,"")</f>
        <v/>
      </c>
      <c r="N28" s="0" t="str">
        <f aca="false">IF(AND($J28="Текущие",OR(Главная!$F$6="Все",$B28=Главная!$F$6),OR(Главная!$F$7="Все",$C28=Главная!$F$7)),$L28,"")</f>
        <v/>
      </c>
      <c r="O28" s="36" t="n">
        <f aca="false">IF(AND($J28="Плановые",OR(Главная!$F$6="Все",$B28=Главная!$F$6),OR(Главная!$F$7="Все",$C28=Главная!$F$7)),$L28,"")</f>
        <v>10299999028</v>
      </c>
      <c r="P28" s="0" t="str">
        <f aca="false">IF(J28="Выполнено",ROW(),"")</f>
        <v/>
      </c>
    </row>
    <row r="29" customFormat="false" ht="21.75" hidden="false" customHeight="true" outlineLevel="0" collapsed="false">
      <c r="A29" s="31" t="s">
        <v>99</v>
      </c>
      <c r="B29" s="31" t="s">
        <v>76</v>
      </c>
      <c r="C29" s="32"/>
      <c r="D29" s="32" t="s">
        <v>54</v>
      </c>
      <c r="E29" s="33"/>
      <c r="F29" s="33"/>
      <c r="G29" s="32" t="s">
        <v>41</v>
      </c>
      <c r="H29" s="32"/>
      <c r="I29" s="31"/>
      <c r="J29" s="34" t="str">
        <f aca="true">IF(TRIM(A29)="","",IF(D29="Выполнено","Выполнено",IF(OR(C29="Срочно",AND(F29&lt;&gt;"",F29&lt;=TODAY())),"Срочные",IF(OR(D29="Отложено",C29="Низкий",AND(F29&lt;&gt;"",F29&gt;TODAY()+Справочники!$H$2)),"Плановые","Текущие"))))</f>
        <v>Текущие</v>
      </c>
      <c r="K29" s="35" t="str">
        <f aca="true">IF(OR(A29="",D29="Выполнено"),"",IF(F29="",IF(AND(G29&lt;&gt;"",G29&lt;&gt;"Разово"),"↻ "&amp;G29,""),IF(F29&lt;TODAY(),"Просрочено на "&amp;(TODAY()-F29)&amp;" дн.",IF(F29=TODAY(),"Сегодня",IF(F29=TODAY()+1,"Завтра","Через "&amp;(F29-TODAY())&amp;" дн.")))))</f>
        <v/>
      </c>
      <c r="L29" s="36" t="n">
        <f aca="true">IF(J29="","",(IF(AND(F29&lt;&gt;"",F29&lt;TODAY()),0,1)*10000000+IFERROR(MATCH(C29,{"Срочно","Высокий","Средний","Низкий"},0),5)*100000+IF(F29="",99999,F29))*1000+ROW())</f>
        <v>10599999029</v>
      </c>
      <c r="M29" s="0" t="str">
        <f aca="false">IF(AND($J29="Срочные",OR(Главная!$F$6="Все",$B29=Главная!$F$6),OR(Главная!$F$7="Все",$C29=Главная!$F$7)),$L29,"")</f>
        <v/>
      </c>
      <c r="N29" s="36" t="n">
        <f aca="false">IF(AND($J29="Текущие",OR(Главная!$F$6="Все",$B29=Главная!$F$6),OR(Главная!$F$7="Все",$C29=Главная!$F$7)),$L29,"")</f>
        <v>10599999029</v>
      </c>
      <c r="O29" s="0" t="str">
        <f aca="false">IF(AND($J29="Плановые",OR(Главная!$F$6="Все",$B29=Главная!$F$6),OR(Главная!$F$7="Все",$C29=Главная!$F$7)),$L29,"")</f>
        <v/>
      </c>
      <c r="P29" s="0" t="str">
        <f aca="false">IF(J29="Выполнено",ROW(),"")</f>
        <v/>
      </c>
    </row>
    <row r="30" customFormat="false" ht="21.75" hidden="false" customHeight="true" outlineLevel="0" collapsed="false">
      <c r="A30" s="31" t="s">
        <v>100</v>
      </c>
      <c r="B30" s="31" t="s">
        <v>76</v>
      </c>
      <c r="C30" s="32"/>
      <c r="D30" s="32" t="s">
        <v>54</v>
      </c>
      <c r="E30" s="33"/>
      <c r="F30" s="33"/>
      <c r="G30" s="32" t="s">
        <v>41</v>
      </c>
      <c r="H30" s="32"/>
      <c r="I30" s="31"/>
      <c r="J30" s="34" t="str">
        <f aca="true">IF(TRIM(A30)="","",IF(D30="Выполнено","Выполнено",IF(OR(C30="Срочно",AND(F30&lt;&gt;"",F30&lt;=TODAY())),"Срочные",IF(OR(D30="Отложено",C30="Низкий",AND(F30&lt;&gt;"",F30&gt;TODAY()+Справочники!$H$2)),"Плановые","Текущие"))))</f>
        <v>Текущие</v>
      </c>
      <c r="K30" s="35" t="str">
        <f aca="true">IF(OR(A30="",D30="Выполнено"),"",IF(F30="",IF(AND(G30&lt;&gt;"",G30&lt;&gt;"Разово"),"↻ "&amp;G30,""),IF(F30&lt;TODAY(),"Просрочено на "&amp;(TODAY()-F30)&amp;" дн.",IF(F30=TODAY(),"Сегодня",IF(F30=TODAY()+1,"Завтра","Через "&amp;(F30-TODAY())&amp;" дн.")))))</f>
        <v/>
      </c>
      <c r="L30" s="36" t="n">
        <f aca="true">IF(J30="","",(IF(AND(F30&lt;&gt;"",F30&lt;TODAY()),0,1)*10000000+IFERROR(MATCH(C30,{"Срочно","Высокий","Средний","Низкий"},0),5)*100000+IF(F30="",99999,F30))*1000+ROW())</f>
        <v>10599999030</v>
      </c>
      <c r="M30" s="0" t="str">
        <f aca="false">IF(AND($J30="Срочные",OR(Главная!$F$6="Все",$B30=Главная!$F$6),OR(Главная!$F$7="Все",$C30=Главная!$F$7)),$L30,"")</f>
        <v/>
      </c>
      <c r="N30" s="36" t="n">
        <f aca="false">IF(AND($J30="Текущие",OR(Главная!$F$6="Все",$B30=Главная!$F$6),OR(Главная!$F$7="Все",$C30=Главная!$F$7)),$L30,"")</f>
        <v>10599999030</v>
      </c>
      <c r="O30" s="0" t="str">
        <f aca="false">IF(AND($J30="Плановые",OR(Главная!$F$6="Все",$B30=Главная!$F$6),OR(Главная!$F$7="Все",$C30=Главная!$F$7)),$L30,"")</f>
        <v/>
      </c>
      <c r="P30" s="0" t="str">
        <f aca="false">IF(J30="Выполнено",ROW(),"")</f>
        <v/>
      </c>
    </row>
    <row r="31" customFormat="false" ht="21.75" hidden="false" customHeight="true" outlineLevel="0" collapsed="false">
      <c r="A31" s="31" t="s">
        <v>101</v>
      </c>
      <c r="B31" s="31" t="s">
        <v>65</v>
      </c>
      <c r="C31" s="32"/>
      <c r="D31" s="32" t="s">
        <v>54</v>
      </c>
      <c r="E31" s="33"/>
      <c r="F31" s="33"/>
      <c r="G31" s="32" t="s">
        <v>41</v>
      </c>
      <c r="H31" s="32"/>
      <c r="I31" s="31"/>
      <c r="J31" s="34" t="str">
        <f aca="true">IF(TRIM(A31)="","",IF(D31="Выполнено","Выполнено",IF(OR(C31="Срочно",AND(F31&lt;&gt;"",F31&lt;=TODAY())),"Срочные",IF(OR(D31="Отложено",C31="Низкий",AND(F31&lt;&gt;"",F31&gt;TODAY()+Справочники!$H$2)),"Плановые","Текущие"))))</f>
        <v>Текущие</v>
      </c>
      <c r="K31" s="35" t="str">
        <f aca="true">IF(OR(A31="",D31="Выполнено"),"",IF(F31="",IF(AND(G31&lt;&gt;"",G31&lt;&gt;"Разово"),"↻ "&amp;G31,""),IF(F31&lt;TODAY(),"Просрочено на "&amp;(TODAY()-F31)&amp;" дн.",IF(F31=TODAY(),"Сегодня",IF(F31=TODAY()+1,"Завтра","Через "&amp;(F31-TODAY())&amp;" дн.")))))</f>
        <v/>
      </c>
      <c r="L31" s="36" t="n">
        <f aca="true">IF(J31="","",(IF(AND(F31&lt;&gt;"",F31&lt;TODAY()),0,1)*10000000+IFERROR(MATCH(C31,{"Срочно","Высокий","Средний","Низкий"},0),5)*100000+IF(F31="",99999,F31))*1000+ROW())</f>
        <v>10599999031</v>
      </c>
      <c r="M31" s="0" t="str">
        <f aca="false">IF(AND($J31="Срочные",OR(Главная!$F$6="Все",$B31=Главная!$F$6),OR(Главная!$F$7="Все",$C31=Главная!$F$7)),$L31,"")</f>
        <v/>
      </c>
      <c r="N31" s="36" t="n">
        <f aca="false">IF(AND($J31="Текущие",OR(Главная!$F$6="Все",$B31=Главная!$F$6),OR(Главная!$F$7="Все",$C31=Главная!$F$7)),$L31,"")</f>
        <v>10599999031</v>
      </c>
      <c r="O31" s="0" t="str">
        <f aca="false">IF(AND($J31="Плановые",OR(Главная!$F$6="Все",$B31=Главная!$F$6),OR(Главная!$F$7="Все",$C31=Главная!$F$7)),$L31,"")</f>
        <v/>
      </c>
      <c r="P31" s="0" t="str">
        <f aca="false">IF(J31="Выполнено",ROW(),"")</f>
        <v/>
      </c>
    </row>
    <row r="32" customFormat="false" ht="21.75" hidden="false" customHeight="true" outlineLevel="0" collapsed="false">
      <c r="A32" s="31" t="s">
        <v>102</v>
      </c>
      <c r="B32" s="31" t="s">
        <v>48</v>
      </c>
      <c r="C32" s="32"/>
      <c r="D32" s="32" t="s">
        <v>54</v>
      </c>
      <c r="E32" s="33"/>
      <c r="F32" s="33"/>
      <c r="G32" s="32" t="s">
        <v>41</v>
      </c>
      <c r="H32" s="32"/>
      <c r="I32" s="31"/>
      <c r="J32" s="34" t="str">
        <f aca="true">IF(TRIM(A32)="","",IF(D32="Выполнено","Выполнено",IF(OR(C32="Срочно",AND(F32&lt;&gt;"",F32&lt;=TODAY())),"Срочные",IF(OR(D32="Отложено",C32="Низкий",AND(F32&lt;&gt;"",F32&gt;TODAY()+Справочники!$H$2)),"Плановые","Текущие"))))</f>
        <v>Текущие</v>
      </c>
      <c r="K32" s="35" t="str">
        <f aca="true">IF(OR(A32="",D32="Выполнено"),"",IF(F32="",IF(AND(G32&lt;&gt;"",G32&lt;&gt;"Разово"),"↻ "&amp;G32,""),IF(F32&lt;TODAY(),"Просрочено на "&amp;(TODAY()-F32)&amp;" дн.",IF(F32=TODAY(),"Сегодня",IF(F32=TODAY()+1,"Завтра","Через "&amp;(F32-TODAY())&amp;" дн.")))))</f>
        <v/>
      </c>
      <c r="L32" s="36" t="n">
        <f aca="true">IF(J32="","",(IF(AND(F32&lt;&gt;"",F32&lt;TODAY()),0,1)*10000000+IFERROR(MATCH(C32,{"Срочно","Высокий","Средний","Низкий"},0),5)*100000+IF(F32="",99999,F32))*1000+ROW())</f>
        <v>10599999032</v>
      </c>
      <c r="M32" s="0" t="str">
        <f aca="false">IF(AND($J32="Срочные",OR(Главная!$F$6="Все",$B32=Главная!$F$6),OR(Главная!$F$7="Все",$C32=Главная!$F$7)),$L32,"")</f>
        <v/>
      </c>
      <c r="N32" s="36" t="n">
        <f aca="false">IF(AND($J32="Текущие",OR(Главная!$F$6="Все",$B32=Главная!$F$6),OR(Главная!$F$7="Все",$C32=Главная!$F$7)),$L32,"")</f>
        <v>10599999032</v>
      </c>
      <c r="O32" s="0" t="str">
        <f aca="false">IF(AND($J32="Плановые",OR(Главная!$F$6="Все",$B32=Главная!$F$6),OR(Главная!$F$7="Все",$C32=Главная!$F$7)),$L32,"")</f>
        <v/>
      </c>
      <c r="P32" s="0" t="str">
        <f aca="false">IF(J32="Выполнено",ROW(),"")</f>
        <v/>
      </c>
    </row>
    <row r="33" customFormat="false" ht="21.75" hidden="false" customHeight="true" outlineLevel="0" collapsed="false">
      <c r="A33" s="31" t="s">
        <v>103</v>
      </c>
      <c r="B33" s="31" t="s">
        <v>76</v>
      </c>
      <c r="C33" s="32"/>
      <c r="D33" s="32" t="s">
        <v>54</v>
      </c>
      <c r="E33" s="33"/>
      <c r="F33" s="33"/>
      <c r="G33" s="32" t="s">
        <v>41</v>
      </c>
      <c r="H33" s="32"/>
      <c r="I33" s="31"/>
      <c r="J33" s="34" t="str">
        <f aca="true">IF(TRIM(A33)="","",IF(D33="Выполнено","Выполнено",IF(OR(C33="Срочно",AND(F33&lt;&gt;"",F33&lt;=TODAY())),"Срочные",IF(OR(D33="Отложено",C33="Низкий",AND(F33&lt;&gt;"",F33&gt;TODAY()+Справочники!$H$2)),"Плановые","Текущие"))))</f>
        <v>Текущие</v>
      </c>
      <c r="K33" s="35" t="str">
        <f aca="true">IF(OR(A33="",D33="Выполнено"),"",IF(F33="",IF(AND(G33&lt;&gt;"",G33&lt;&gt;"Разово"),"↻ "&amp;G33,""),IF(F33&lt;TODAY(),"Просрочено на "&amp;(TODAY()-F33)&amp;" дн.",IF(F33=TODAY(),"Сегодня",IF(F33=TODAY()+1,"Завтра","Через "&amp;(F33-TODAY())&amp;" дн.")))))</f>
        <v/>
      </c>
      <c r="L33" s="36" t="n">
        <f aca="true">IF(J33="","",(IF(AND(F33&lt;&gt;"",F33&lt;TODAY()),0,1)*10000000+IFERROR(MATCH(C33,{"Срочно","Высокий","Средний","Низкий"},0),5)*100000+IF(F33="",99999,F33))*1000+ROW())</f>
        <v>10599999033</v>
      </c>
      <c r="M33" s="0" t="str">
        <f aca="false">IF(AND($J33="Срочные",OR(Главная!$F$6="Все",$B33=Главная!$F$6),OR(Главная!$F$7="Все",$C33=Главная!$F$7)),$L33,"")</f>
        <v/>
      </c>
      <c r="N33" s="36" t="n">
        <f aca="false">IF(AND($J33="Текущие",OR(Главная!$F$6="Все",$B33=Главная!$F$6),OR(Главная!$F$7="Все",$C33=Главная!$F$7)),$L33,"")</f>
        <v>10599999033</v>
      </c>
      <c r="O33" s="0" t="str">
        <f aca="false">IF(AND($J33="Плановые",OR(Главная!$F$6="Все",$B33=Главная!$F$6),OR(Главная!$F$7="Все",$C33=Главная!$F$7)),$L33,"")</f>
        <v/>
      </c>
      <c r="P33" s="0" t="str">
        <f aca="false">IF(J33="Выполнено",ROW(),"")</f>
        <v/>
      </c>
    </row>
    <row r="34" customFormat="false" ht="33" hidden="false" customHeight="true" outlineLevel="0" collapsed="false">
      <c r="A34" s="31" t="s">
        <v>104</v>
      </c>
      <c r="B34" s="31" t="s">
        <v>76</v>
      </c>
      <c r="C34" s="32"/>
      <c r="D34" s="32" t="s">
        <v>54</v>
      </c>
      <c r="E34" s="33"/>
      <c r="F34" s="33"/>
      <c r="G34" s="32" t="s">
        <v>41</v>
      </c>
      <c r="H34" s="32"/>
      <c r="I34" s="31"/>
      <c r="J34" s="34" t="str">
        <f aca="true">IF(TRIM(A34)="","",IF(D34="Выполнено","Выполнено",IF(OR(C34="Срочно",AND(F34&lt;&gt;"",F34&lt;=TODAY())),"Срочные",IF(OR(D34="Отложено",C34="Низкий",AND(F34&lt;&gt;"",F34&gt;TODAY()+Справочники!$H$2)),"Плановые","Текущие"))))</f>
        <v>Текущие</v>
      </c>
      <c r="K34" s="35" t="str">
        <f aca="true">IF(OR(A34="",D34="Выполнено"),"",IF(F34="",IF(AND(G34&lt;&gt;"",G34&lt;&gt;"Разово"),"↻ "&amp;G34,""),IF(F34&lt;TODAY(),"Просрочено на "&amp;(TODAY()-F34)&amp;" дн.",IF(F34=TODAY(),"Сегодня",IF(F34=TODAY()+1,"Завтра","Через "&amp;(F34-TODAY())&amp;" дн.")))))</f>
        <v/>
      </c>
      <c r="L34" s="36" t="n">
        <f aca="true">IF(J34="","",(IF(AND(F34&lt;&gt;"",F34&lt;TODAY()),0,1)*10000000+IFERROR(MATCH(C34,{"Срочно","Высокий","Средний","Низкий"},0),5)*100000+IF(F34="",99999,F34))*1000+ROW())</f>
        <v>10599999034</v>
      </c>
      <c r="M34" s="0" t="str">
        <f aca="false">IF(AND($J34="Срочные",OR(Главная!$F$6="Все",$B34=Главная!$F$6),OR(Главная!$F$7="Все",$C34=Главная!$F$7)),$L34,"")</f>
        <v/>
      </c>
      <c r="N34" s="36" t="n">
        <f aca="false">IF(AND($J34="Текущие",OR(Главная!$F$6="Все",$B34=Главная!$F$6),OR(Главная!$F$7="Все",$C34=Главная!$F$7)),$L34,"")</f>
        <v>10599999034</v>
      </c>
      <c r="O34" s="0" t="str">
        <f aca="false">IF(AND($J34="Плановые",OR(Главная!$F$6="Все",$B34=Главная!$F$6),OR(Главная!$F$7="Все",$C34=Главная!$F$7)),$L34,"")</f>
        <v/>
      </c>
      <c r="P34" s="0" t="str">
        <f aca="false">IF(J34="Выполнено",ROW(),"")</f>
        <v/>
      </c>
    </row>
    <row r="35" customFormat="false" ht="21.75" hidden="false" customHeight="true" outlineLevel="0" collapsed="false">
      <c r="A35" s="31" t="s">
        <v>105</v>
      </c>
      <c r="B35" s="31" t="s">
        <v>65</v>
      </c>
      <c r="C35" s="32"/>
      <c r="D35" s="32" t="s">
        <v>54</v>
      </c>
      <c r="E35" s="33"/>
      <c r="F35" s="33"/>
      <c r="G35" s="32" t="s">
        <v>41</v>
      </c>
      <c r="H35" s="32"/>
      <c r="I35" s="31"/>
      <c r="J35" s="34" t="str">
        <f aca="true">IF(TRIM(A35)="","",IF(D35="Выполнено","Выполнено",IF(OR(C35="Срочно",AND(F35&lt;&gt;"",F35&lt;=TODAY())),"Срочные",IF(OR(D35="Отложено",C35="Низкий",AND(F35&lt;&gt;"",F35&gt;TODAY()+Справочники!$H$2)),"Плановые","Текущие"))))</f>
        <v>Текущие</v>
      </c>
      <c r="K35" s="35" t="str">
        <f aca="true">IF(OR(A35="",D35="Выполнено"),"",IF(F35="",IF(AND(G35&lt;&gt;"",G35&lt;&gt;"Разово"),"↻ "&amp;G35,""),IF(F35&lt;TODAY(),"Просрочено на "&amp;(TODAY()-F35)&amp;" дн.",IF(F35=TODAY(),"Сегодня",IF(F35=TODAY()+1,"Завтра","Через "&amp;(F35-TODAY())&amp;" дн.")))))</f>
        <v/>
      </c>
      <c r="L35" s="36" t="n">
        <f aca="true">IF(J35="","",(IF(AND(F35&lt;&gt;"",F35&lt;TODAY()),0,1)*10000000+IFERROR(MATCH(C35,{"Срочно","Высокий","Средний","Низкий"},0),5)*100000+IF(F35="",99999,F35))*1000+ROW())</f>
        <v>10599999035</v>
      </c>
      <c r="M35" s="0" t="str">
        <f aca="false">IF(AND($J35="Срочные",OR(Главная!$F$6="Все",$B35=Главная!$F$6),OR(Главная!$F$7="Все",$C35=Главная!$F$7)),$L35,"")</f>
        <v/>
      </c>
      <c r="N35" s="36" t="n">
        <f aca="false">IF(AND($J35="Текущие",OR(Главная!$F$6="Все",$B35=Главная!$F$6),OR(Главная!$F$7="Все",$C35=Главная!$F$7)),$L35,"")</f>
        <v>10599999035</v>
      </c>
      <c r="O35" s="0" t="str">
        <f aca="false">IF(AND($J35="Плановые",OR(Главная!$F$6="Все",$B35=Главная!$F$6),OR(Главная!$F$7="Все",$C35=Главная!$F$7)),$L35,"")</f>
        <v/>
      </c>
      <c r="P35" s="0" t="str">
        <f aca="false">IF(J35="Выполнено",ROW(),"")</f>
        <v/>
      </c>
    </row>
    <row r="36" customFormat="false" ht="21.75" hidden="false" customHeight="true" outlineLevel="0" collapsed="false">
      <c r="A36" s="31" t="s">
        <v>106</v>
      </c>
      <c r="B36" s="31"/>
      <c r="C36" s="32"/>
      <c r="D36" s="32" t="s">
        <v>54</v>
      </c>
      <c r="E36" s="33"/>
      <c r="F36" s="33"/>
      <c r="G36" s="32" t="s">
        <v>41</v>
      </c>
      <c r="H36" s="32"/>
      <c r="I36" s="31"/>
      <c r="J36" s="34" t="str">
        <f aca="true">IF(TRIM(A36)="","",IF(D36="Выполнено","Выполнено",IF(OR(C36="Срочно",AND(F36&lt;&gt;"",F36&lt;=TODAY())),"Срочные",IF(OR(D36="Отложено",C36="Низкий",AND(F36&lt;&gt;"",F36&gt;TODAY()+Справочники!$H$2)),"Плановые","Текущие"))))</f>
        <v>Текущие</v>
      </c>
      <c r="K36" s="35" t="str">
        <f aca="true">IF(OR(A36="",D36="Выполнено"),"",IF(F36="",IF(AND(G36&lt;&gt;"",G36&lt;&gt;"Разово"),"↻ "&amp;G36,""),IF(F36&lt;TODAY(),"Просрочено на "&amp;(TODAY()-F36)&amp;" дн.",IF(F36=TODAY(),"Сегодня",IF(F36=TODAY()+1,"Завтра","Через "&amp;(F36-TODAY())&amp;" дн.")))))</f>
        <v/>
      </c>
      <c r="L36" s="36" t="n">
        <f aca="true">IF(J36="","",(IF(AND(F36&lt;&gt;"",F36&lt;TODAY()),0,1)*10000000+IFERROR(MATCH(C36,{"Срочно","Высокий","Средний","Низкий"},0),5)*100000+IF(F36="",99999,F36))*1000+ROW())</f>
        <v>10599999036</v>
      </c>
      <c r="M36" s="0" t="str">
        <f aca="false">IF(AND($J36="Срочные",OR(Главная!$F$6="Все",$B36=Главная!$F$6),OR(Главная!$F$7="Все",$C36=Главная!$F$7)),$L36,"")</f>
        <v/>
      </c>
      <c r="N36" s="36" t="n">
        <f aca="false">IF(AND($J36="Текущие",OR(Главная!$F$6="Все",$B36=Главная!$F$6),OR(Главная!$F$7="Все",$C36=Главная!$F$7)),$L36,"")</f>
        <v>10599999036</v>
      </c>
      <c r="O36" s="0" t="str">
        <f aca="false">IF(AND($J36="Плановые",OR(Главная!$F$6="Все",$B36=Главная!$F$6),OR(Главная!$F$7="Все",$C36=Главная!$F$7)),$L36,"")</f>
        <v/>
      </c>
      <c r="P36" s="0" t="str">
        <f aca="false">IF(J36="Выполнено",ROW(),"")</f>
        <v/>
      </c>
    </row>
    <row r="37" customFormat="false" ht="33" hidden="false" customHeight="true" outlineLevel="0" collapsed="false">
      <c r="A37" s="31" t="s">
        <v>107</v>
      </c>
      <c r="B37" s="31" t="s">
        <v>65</v>
      </c>
      <c r="C37" s="32"/>
      <c r="D37" s="32" t="s">
        <v>54</v>
      </c>
      <c r="E37" s="33"/>
      <c r="F37" s="33"/>
      <c r="G37" s="32" t="s">
        <v>41</v>
      </c>
      <c r="H37" s="32"/>
      <c r="I37" s="31"/>
      <c r="J37" s="34" t="str">
        <f aca="true">IF(TRIM(A37)="","",IF(D37="Выполнено","Выполнено",IF(OR(C37="Срочно",AND(F37&lt;&gt;"",F37&lt;=TODAY())),"Срочные",IF(OR(D37="Отложено",C37="Низкий",AND(F37&lt;&gt;"",F37&gt;TODAY()+Справочники!$H$2)),"Плановые","Текущие"))))</f>
        <v>Текущие</v>
      </c>
      <c r="K37" s="35" t="str">
        <f aca="true">IF(OR(A37="",D37="Выполнено"),"",IF(F37="",IF(AND(G37&lt;&gt;"",G37&lt;&gt;"Разово"),"↻ "&amp;G37,""),IF(F37&lt;TODAY(),"Просрочено на "&amp;(TODAY()-F37)&amp;" дн.",IF(F37=TODAY(),"Сегодня",IF(F37=TODAY()+1,"Завтра","Через "&amp;(F37-TODAY())&amp;" дн.")))))</f>
        <v/>
      </c>
      <c r="L37" s="36" t="n">
        <f aca="true">IF(J37="","",(IF(AND(F37&lt;&gt;"",F37&lt;TODAY()),0,1)*10000000+IFERROR(MATCH(C37,{"Срочно","Высокий","Средний","Низкий"},0),5)*100000+IF(F37="",99999,F37))*1000+ROW())</f>
        <v>10599999037</v>
      </c>
      <c r="M37" s="0" t="str">
        <f aca="false">IF(AND($J37="Срочные",OR(Главная!$F$6="Все",$B37=Главная!$F$6),OR(Главная!$F$7="Все",$C37=Главная!$F$7)),$L37,"")</f>
        <v/>
      </c>
      <c r="N37" s="36" t="n">
        <f aca="false">IF(AND($J37="Текущие",OR(Главная!$F$6="Все",$B37=Главная!$F$6),OR(Главная!$F$7="Все",$C37=Главная!$F$7)),$L37,"")</f>
        <v>10599999037</v>
      </c>
      <c r="O37" s="0" t="str">
        <f aca="false">IF(AND($J37="Плановые",OR(Главная!$F$6="Все",$B37=Главная!$F$6),OR(Главная!$F$7="Все",$C37=Главная!$F$7)),$L37,"")</f>
        <v/>
      </c>
      <c r="P37" s="0" t="str">
        <f aca="false">IF(J37="Выполнено",ROW(),"")</f>
        <v/>
      </c>
    </row>
    <row r="38" customFormat="false" ht="33" hidden="false" customHeight="true" outlineLevel="0" collapsed="false">
      <c r="A38" s="31" t="s">
        <v>108</v>
      </c>
      <c r="B38" s="31" t="s">
        <v>65</v>
      </c>
      <c r="C38" s="32"/>
      <c r="D38" s="32" t="s">
        <v>54</v>
      </c>
      <c r="E38" s="33"/>
      <c r="F38" s="33"/>
      <c r="G38" s="32" t="s">
        <v>41</v>
      </c>
      <c r="H38" s="32"/>
      <c r="I38" s="31"/>
      <c r="J38" s="34" t="str">
        <f aca="true">IF(TRIM(A38)="","",IF(D38="Выполнено","Выполнено",IF(OR(C38="Срочно",AND(F38&lt;&gt;"",F38&lt;=TODAY())),"Срочные",IF(OR(D38="Отложено",C38="Низкий",AND(F38&lt;&gt;"",F38&gt;TODAY()+Справочники!$H$2)),"Плановые","Текущие"))))</f>
        <v>Текущие</v>
      </c>
      <c r="K38" s="35" t="str">
        <f aca="true">IF(OR(A38="",D38="Выполнено"),"",IF(F38="",IF(AND(G38&lt;&gt;"",G38&lt;&gt;"Разово"),"↻ "&amp;G38,""),IF(F38&lt;TODAY(),"Просрочено на "&amp;(TODAY()-F38)&amp;" дн.",IF(F38=TODAY(),"Сегодня",IF(F38=TODAY()+1,"Завтра","Через "&amp;(F38-TODAY())&amp;" дн.")))))</f>
        <v/>
      </c>
      <c r="L38" s="36" t="n">
        <f aca="true">IF(J38="","",(IF(AND(F38&lt;&gt;"",F38&lt;TODAY()),0,1)*10000000+IFERROR(MATCH(C38,{"Срочно","Высокий","Средний","Низкий"},0),5)*100000+IF(F38="",99999,F38))*1000+ROW())</f>
        <v>10599999038</v>
      </c>
      <c r="M38" s="0" t="str">
        <f aca="false">IF(AND($J38="Срочные",OR(Главная!$F$6="Все",$B38=Главная!$F$6),OR(Главная!$F$7="Все",$C38=Главная!$F$7)),$L38,"")</f>
        <v/>
      </c>
      <c r="N38" s="36" t="n">
        <f aca="false">IF(AND($J38="Текущие",OR(Главная!$F$6="Все",$B38=Главная!$F$6),OR(Главная!$F$7="Все",$C38=Главная!$F$7)),$L38,"")</f>
        <v>10599999038</v>
      </c>
      <c r="O38" s="0" t="str">
        <f aca="false">IF(AND($J38="Плановые",OR(Главная!$F$6="Все",$B38=Главная!$F$6),OR(Главная!$F$7="Все",$C38=Главная!$F$7)),$L38,"")</f>
        <v/>
      </c>
      <c r="P38" s="0" t="str">
        <f aca="false">IF(J38="Выполнено",ROW(),"")</f>
        <v/>
      </c>
    </row>
    <row r="39" customFormat="false" ht="21.75" hidden="false" customHeight="true" outlineLevel="0" collapsed="false">
      <c r="A39" s="31"/>
      <c r="B39" s="31"/>
      <c r="C39" s="32"/>
      <c r="D39" s="32"/>
      <c r="E39" s="33"/>
      <c r="F39" s="33"/>
      <c r="G39" s="32"/>
      <c r="H39" s="32"/>
      <c r="I39" s="31"/>
      <c r="J39" s="34" t="str">
        <f aca="true">IF(TRIM(A39)="","",IF(D39="Выполнено","Выполнено",IF(OR(C39="Срочно",AND(F39&lt;&gt;"",F39&lt;=TODAY())),"Срочные",IF(OR(D39="Отложено",C39="Низкий",AND(F39&lt;&gt;"",F39&gt;TODAY()+Справочники!$H$2)),"Плановые","Текущие"))))</f>
        <v/>
      </c>
      <c r="K39" s="35" t="str">
        <f aca="true">IF(OR(A39="",D39="Выполнено"),"",IF(F39="",IF(AND(G39&lt;&gt;"",G39&lt;&gt;"Разово"),"↻ "&amp;G39,""),IF(F39&lt;TODAY(),"Просрочено на "&amp;(TODAY()-F39)&amp;" дн.",IF(F39=TODAY(),"Сегодня",IF(F39=TODAY()+1,"Завтра","Через "&amp;(F39-TODAY())&amp;" дн.")))))</f>
        <v/>
      </c>
      <c r="L39" s="0" t="str">
        <f aca="true">IF(J39="","",(IF(AND(F39&lt;&gt;"",F39&lt;TODAY()),0,1)*10000000+IFERROR(MATCH(C39,{"Срочно","Высокий","Средний","Низкий"},0),5)*100000+IF(F39="",99999,F39))*1000+ROW())</f>
        <v/>
      </c>
      <c r="M39" s="0" t="str">
        <f aca="false">IF(AND($J39="Срочные",OR(Главная!$F$6="Все",$B39=Главная!$F$6),OR(Главная!$F$7="Все",$C39=Главная!$F$7)),$L39,"")</f>
        <v/>
      </c>
      <c r="N39" s="0" t="str">
        <f aca="false">IF(AND($J39="Текущие",OR(Главная!$F$6="Все",$B39=Главная!$F$6),OR(Главная!$F$7="Все",$C39=Главная!$F$7)),$L39,"")</f>
        <v/>
      </c>
      <c r="O39" s="0" t="str">
        <f aca="false">IF(AND($J39="Плановые",OR(Главная!$F$6="Все",$B39=Главная!$F$6),OR(Главная!$F$7="Все",$C39=Главная!$F$7)),$L39,"")</f>
        <v/>
      </c>
      <c r="P39" s="0" t="str">
        <f aca="false">IF(J39="Выполнено",ROW(),"")</f>
        <v/>
      </c>
    </row>
    <row r="40" customFormat="false" ht="21.75" hidden="false" customHeight="true" outlineLevel="0" collapsed="false">
      <c r="A40" s="31"/>
      <c r="B40" s="31"/>
      <c r="C40" s="32"/>
      <c r="D40" s="32"/>
      <c r="E40" s="33"/>
      <c r="F40" s="33"/>
      <c r="G40" s="32"/>
      <c r="H40" s="32"/>
      <c r="I40" s="31"/>
      <c r="J40" s="34" t="str">
        <f aca="true">IF(TRIM(A40)="","",IF(D40="Выполнено","Выполнено",IF(OR(C40="Срочно",AND(F40&lt;&gt;"",F40&lt;=TODAY())),"Срочные",IF(OR(D40="Отложено",C40="Низкий",AND(F40&lt;&gt;"",F40&gt;TODAY()+Справочники!$H$2)),"Плановые","Текущие"))))</f>
        <v/>
      </c>
      <c r="K40" s="35" t="str">
        <f aca="true">IF(OR(A40="",D40="Выполнено"),"",IF(F40="",IF(AND(G40&lt;&gt;"",G40&lt;&gt;"Разово"),"↻ "&amp;G40,""),IF(F40&lt;TODAY(),"Просрочено на "&amp;(TODAY()-F40)&amp;" дн.",IF(F40=TODAY(),"Сегодня",IF(F40=TODAY()+1,"Завтра","Через "&amp;(F40-TODAY())&amp;" дн.")))))</f>
        <v/>
      </c>
      <c r="L40" s="0" t="str">
        <f aca="true">IF(J40="","",(IF(AND(F40&lt;&gt;"",F40&lt;TODAY()),0,1)*10000000+IFERROR(MATCH(C40,{"Срочно","Высокий","Средний","Низкий"},0),5)*100000+IF(F40="",99999,F40))*1000+ROW())</f>
        <v/>
      </c>
      <c r="M40" s="0" t="str">
        <f aca="false">IF(AND($J40="Срочные",OR(Главная!$F$6="Все",$B40=Главная!$F$6),OR(Главная!$F$7="Все",$C40=Главная!$F$7)),$L40,"")</f>
        <v/>
      </c>
      <c r="N40" s="0" t="str">
        <f aca="false">IF(AND($J40="Текущие",OR(Главная!$F$6="Все",$B40=Главная!$F$6),OR(Главная!$F$7="Все",$C40=Главная!$F$7)),$L40,"")</f>
        <v/>
      </c>
      <c r="O40" s="0" t="str">
        <f aca="false">IF(AND($J40="Плановые",OR(Главная!$F$6="Все",$B40=Главная!$F$6),OR(Главная!$F$7="Все",$C40=Главная!$F$7)),$L40,"")</f>
        <v/>
      </c>
      <c r="P40" s="0" t="str">
        <f aca="false">IF(J40="Выполнено",ROW(),"")</f>
        <v/>
      </c>
    </row>
    <row r="41" customFormat="false" ht="21.75" hidden="false" customHeight="true" outlineLevel="0" collapsed="false">
      <c r="A41" s="31"/>
      <c r="B41" s="31"/>
      <c r="C41" s="32"/>
      <c r="D41" s="32"/>
      <c r="E41" s="33"/>
      <c r="F41" s="33"/>
      <c r="G41" s="32"/>
      <c r="H41" s="32"/>
      <c r="I41" s="31"/>
      <c r="J41" s="34" t="str">
        <f aca="true">IF(TRIM(A41)="","",IF(D41="Выполнено","Выполнено",IF(OR(C41="Срочно",AND(F41&lt;&gt;"",F41&lt;=TODAY())),"Срочные",IF(OR(D41="Отложено",C41="Низкий",AND(F41&lt;&gt;"",F41&gt;TODAY()+Справочники!$H$2)),"Плановые","Текущие"))))</f>
        <v/>
      </c>
      <c r="K41" s="35" t="str">
        <f aca="true">IF(OR(A41="",D41="Выполнено"),"",IF(F41="",IF(AND(G41&lt;&gt;"",G41&lt;&gt;"Разово"),"↻ "&amp;G41,""),IF(F41&lt;TODAY(),"Просрочено на "&amp;(TODAY()-F41)&amp;" дн.",IF(F41=TODAY(),"Сегодня",IF(F41=TODAY()+1,"Завтра","Через "&amp;(F41-TODAY())&amp;" дн.")))))</f>
        <v/>
      </c>
      <c r="L41" s="0" t="str">
        <f aca="true">IF(J41="","",(IF(AND(F41&lt;&gt;"",F41&lt;TODAY()),0,1)*10000000+IFERROR(MATCH(C41,{"Срочно","Высокий","Средний","Низкий"},0),5)*100000+IF(F41="",99999,F41))*1000+ROW())</f>
        <v/>
      </c>
      <c r="M41" s="0" t="str">
        <f aca="false">IF(AND($J41="Срочные",OR(Главная!$F$6="Все",$B41=Главная!$F$6),OR(Главная!$F$7="Все",$C41=Главная!$F$7)),$L41,"")</f>
        <v/>
      </c>
      <c r="N41" s="0" t="str">
        <f aca="false">IF(AND($J41="Текущие",OR(Главная!$F$6="Все",$B41=Главная!$F$6),OR(Главная!$F$7="Все",$C41=Главная!$F$7)),$L41,"")</f>
        <v/>
      </c>
      <c r="O41" s="0" t="str">
        <f aca="false">IF(AND($J41="Плановые",OR(Главная!$F$6="Все",$B41=Главная!$F$6),OR(Главная!$F$7="Все",$C41=Главная!$F$7)),$L41,"")</f>
        <v/>
      </c>
      <c r="P41" s="0" t="str">
        <f aca="false">IF(J41="Выполнено",ROW(),"")</f>
        <v/>
      </c>
    </row>
    <row r="42" customFormat="false" ht="21.75" hidden="false" customHeight="true" outlineLevel="0" collapsed="false">
      <c r="A42" s="31"/>
      <c r="B42" s="31"/>
      <c r="C42" s="32"/>
      <c r="D42" s="32"/>
      <c r="E42" s="33"/>
      <c r="F42" s="33"/>
      <c r="G42" s="32"/>
      <c r="H42" s="32"/>
      <c r="I42" s="31"/>
      <c r="J42" s="34" t="str">
        <f aca="true">IF(TRIM(A42)="","",IF(D42="Выполнено","Выполнено",IF(OR(C42="Срочно",AND(F42&lt;&gt;"",F42&lt;=TODAY())),"Срочные",IF(OR(D42="Отложено",C42="Низкий",AND(F42&lt;&gt;"",F42&gt;TODAY()+Справочники!$H$2)),"Плановые","Текущие"))))</f>
        <v/>
      </c>
      <c r="K42" s="35" t="str">
        <f aca="true">IF(OR(A42="",D42="Выполнено"),"",IF(F42="",IF(AND(G42&lt;&gt;"",G42&lt;&gt;"Разово"),"↻ "&amp;G42,""),IF(F42&lt;TODAY(),"Просрочено на "&amp;(TODAY()-F42)&amp;" дн.",IF(F42=TODAY(),"Сегодня",IF(F42=TODAY()+1,"Завтра","Через "&amp;(F42-TODAY())&amp;" дн.")))))</f>
        <v/>
      </c>
      <c r="L42" s="0" t="str">
        <f aca="true">IF(J42="","",(IF(AND(F42&lt;&gt;"",F42&lt;TODAY()),0,1)*10000000+IFERROR(MATCH(C42,{"Срочно","Высокий","Средний","Низкий"},0),5)*100000+IF(F42="",99999,F42))*1000+ROW())</f>
        <v/>
      </c>
      <c r="M42" s="0" t="str">
        <f aca="false">IF(AND($J42="Срочные",OR(Главная!$F$6="Все",$B42=Главная!$F$6),OR(Главная!$F$7="Все",$C42=Главная!$F$7)),$L42,"")</f>
        <v/>
      </c>
      <c r="N42" s="0" t="str">
        <f aca="false">IF(AND($J42="Текущие",OR(Главная!$F$6="Все",$B42=Главная!$F$6),OR(Главная!$F$7="Все",$C42=Главная!$F$7)),$L42,"")</f>
        <v/>
      </c>
      <c r="O42" s="0" t="str">
        <f aca="false">IF(AND($J42="Плановые",OR(Главная!$F$6="Все",$B42=Главная!$F$6),OR(Главная!$F$7="Все",$C42=Главная!$F$7)),$L42,"")</f>
        <v/>
      </c>
      <c r="P42" s="0" t="str">
        <f aca="false">IF(J42="Выполнено",ROW(),"")</f>
        <v/>
      </c>
    </row>
    <row r="43" customFormat="false" ht="21.75" hidden="false" customHeight="true" outlineLevel="0" collapsed="false">
      <c r="A43" s="31"/>
      <c r="B43" s="31"/>
      <c r="C43" s="32"/>
      <c r="D43" s="32"/>
      <c r="E43" s="33"/>
      <c r="F43" s="33"/>
      <c r="G43" s="32"/>
      <c r="H43" s="32"/>
      <c r="I43" s="31"/>
      <c r="J43" s="34" t="str">
        <f aca="true">IF(TRIM(A43)="","",IF(D43="Выполнено","Выполнено",IF(OR(C43="Срочно",AND(F43&lt;&gt;"",F43&lt;=TODAY())),"Срочные",IF(OR(D43="Отложено",C43="Низкий",AND(F43&lt;&gt;"",F43&gt;TODAY()+Справочники!$H$2)),"Плановые","Текущие"))))</f>
        <v/>
      </c>
      <c r="K43" s="35" t="str">
        <f aca="true">IF(OR(A43="",D43="Выполнено"),"",IF(F43="",IF(AND(G43&lt;&gt;"",G43&lt;&gt;"Разово"),"↻ "&amp;G43,""),IF(F43&lt;TODAY(),"Просрочено на "&amp;(TODAY()-F43)&amp;" дн.",IF(F43=TODAY(),"Сегодня",IF(F43=TODAY()+1,"Завтра","Через "&amp;(F43-TODAY())&amp;" дн.")))))</f>
        <v/>
      </c>
      <c r="L43" s="0" t="str">
        <f aca="true">IF(J43="","",(IF(AND(F43&lt;&gt;"",F43&lt;TODAY()),0,1)*10000000+IFERROR(MATCH(C43,{"Срочно","Высокий","Средний","Низкий"},0),5)*100000+IF(F43="",99999,F43))*1000+ROW())</f>
        <v/>
      </c>
      <c r="M43" s="0" t="str">
        <f aca="false">IF(AND($J43="Срочные",OR(Главная!$F$6="Все",$B43=Главная!$F$6),OR(Главная!$F$7="Все",$C43=Главная!$F$7)),$L43,"")</f>
        <v/>
      </c>
      <c r="N43" s="0" t="str">
        <f aca="false">IF(AND($J43="Текущие",OR(Главная!$F$6="Все",$B43=Главная!$F$6),OR(Главная!$F$7="Все",$C43=Главная!$F$7)),$L43,"")</f>
        <v/>
      </c>
      <c r="O43" s="0" t="str">
        <f aca="false">IF(AND($J43="Плановые",OR(Главная!$F$6="Все",$B43=Главная!$F$6),OR(Главная!$F$7="Все",$C43=Главная!$F$7)),$L43,"")</f>
        <v/>
      </c>
      <c r="P43" s="0" t="str">
        <f aca="false">IF(J43="Выполнено",ROW(),"")</f>
        <v/>
      </c>
    </row>
    <row r="44" customFormat="false" ht="21.75" hidden="false" customHeight="true" outlineLevel="0" collapsed="false">
      <c r="A44" s="31"/>
      <c r="B44" s="31"/>
      <c r="C44" s="32"/>
      <c r="D44" s="32"/>
      <c r="E44" s="33"/>
      <c r="F44" s="33"/>
      <c r="G44" s="32"/>
      <c r="H44" s="32"/>
      <c r="I44" s="31"/>
      <c r="J44" s="34" t="str">
        <f aca="true">IF(TRIM(A44)="","",IF(D44="Выполнено","Выполнено",IF(OR(C44="Срочно",AND(F44&lt;&gt;"",F44&lt;=TODAY())),"Срочные",IF(OR(D44="Отложено",C44="Низкий",AND(F44&lt;&gt;"",F44&gt;TODAY()+Справочники!$H$2)),"Плановые","Текущие"))))</f>
        <v/>
      </c>
      <c r="K44" s="35" t="str">
        <f aca="true">IF(OR(A44="",D44="Выполнено"),"",IF(F44="",IF(AND(G44&lt;&gt;"",G44&lt;&gt;"Разово"),"↻ "&amp;G44,""),IF(F44&lt;TODAY(),"Просрочено на "&amp;(TODAY()-F44)&amp;" дн.",IF(F44=TODAY(),"Сегодня",IF(F44=TODAY()+1,"Завтра","Через "&amp;(F44-TODAY())&amp;" дн.")))))</f>
        <v/>
      </c>
      <c r="L44" s="0" t="str">
        <f aca="true">IF(J44="","",(IF(AND(F44&lt;&gt;"",F44&lt;TODAY()),0,1)*10000000+IFERROR(MATCH(C44,{"Срочно","Высокий","Средний","Низкий"},0),5)*100000+IF(F44="",99999,F44))*1000+ROW())</f>
        <v/>
      </c>
      <c r="M44" s="0" t="str">
        <f aca="false">IF(AND($J44="Срочные",OR(Главная!$F$6="Все",$B44=Главная!$F$6),OR(Главная!$F$7="Все",$C44=Главная!$F$7)),$L44,"")</f>
        <v/>
      </c>
      <c r="N44" s="0" t="str">
        <f aca="false">IF(AND($J44="Текущие",OR(Главная!$F$6="Все",$B44=Главная!$F$6),OR(Главная!$F$7="Все",$C44=Главная!$F$7)),$L44,"")</f>
        <v/>
      </c>
      <c r="O44" s="0" t="str">
        <f aca="false">IF(AND($J44="Плановые",OR(Главная!$F$6="Все",$B44=Главная!$F$6),OR(Главная!$F$7="Все",$C44=Главная!$F$7)),$L44,"")</f>
        <v/>
      </c>
      <c r="P44" s="0" t="str">
        <f aca="false">IF(J44="Выполнено",ROW(),"")</f>
        <v/>
      </c>
    </row>
    <row r="45" customFormat="false" ht="21.75" hidden="false" customHeight="true" outlineLevel="0" collapsed="false">
      <c r="A45" s="31"/>
      <c r="B45" s="31"/>
      <c r="C45" s="32"/>
      <c r="D45" s="32"/>
      <c r="E45" s="33"/>
      <c r="F45" s="33"/>
      <c r="G45" s="32"/>
      <c r="H45" s="32"/>
      <c r="I45" s="31"/>
      <c r="J45" s="34" t="str">
        <f aca="true">IF(TRIM(A45)="","",IF(D45="Выполнено","Выполнено",IF(OR(C45="Срочно",AND(F45&lt;&gt;"",F45&lt;=TODAY())),"Срочные",IF(OR(D45="Отложено",C45="Низкий",AND(F45&lt;&gt;"",F45&gt;TODAY()+Справочники!$H$2)),"Плановые","Текущие"))))</f>
        <v/>
      </c>
      <c r="K45" s="35" t="str">
        <f aca="true">IF(OR(A45="",D45="Выполнено"),"",IF(F45="",IF(AND(G45&lt;&gt;"",G45&lt;&gt;"Разово"),"↻ "&amp;G45,""),IF(F45&lt;TODAY(),"Просрочено на "&amp;(TODAY()-F45)&amp;" дн.",IF(F45=TODAY(),"Сегодня",IF(F45=TODAY()+1,"Завтра","Через "&amp;(F45-TODAY())&amp;" дн.")))))</f>
        <v/>
      </c>
      <c r="L45" s="0" t="str">
        <f aca="true">IF(J45="","",(IF(AND(F45&lt;&gt;"",F45&lt;TODAY()),0,1)*10000000+IFERROR(MATCH(C45,{"Срочно","Высокий","Средний","Низкий"},0),5)*100000+IF(F45="",99999,F45))*1000+ROW())</f>
        <v/>
      </c>
      <c r="M45" s="0" t="str">
        <f aca="false">IF(AND($J45="Срочные",OR(Главная!$F$6="Все",$B45=Главная!$F$6),OR(Главная!$F$7="Все",$C45=Главная!$F$7)),$L45,"")</f>
        <v/>
      </c>
      <c r="N45" s="0" t="str">
        <f aca="false">IF(AND($J45="Текущие",OR(Главная!$F$6="Все",$B45=Главная!$F$6),OR(Главная!$F$7="Все",$C45=Главная!$F$7)),$L45,"")</f>
        <v/>
      </c>
      <c r="O45" s="0" t="str">
        <f aca="false">IF(AND($J45="Плановые",OR(Главная!$F$6="Все",$B45=Главная!$F$6),OR(Главная!$F$7="Все",$C45=Главная!$F$7)),$L45,"")</f>
        <v/>
      </c>
      <c r="P45" s="0" t="str">
        <f aca="false">IF(J45="Выполнено",ROW(),"")</f>
        <v/>
      </c>
    </row>
    <row r="46" customFormat="false" ht="21.75" hidden="false" customHeight="true" outlineLevel="0" collapsed="false">
      <c r="A46" s="31"/>
      <c r="B46" s="31"/>
      <c r="C46" s="32"/>
      <c r="D46" s="32"/>
      <c r="E46" s="33"/>
      <c r="F46" s="33"/>
      <c r="G46" s="32"/>
      <c r="H46" s="32"/>
      <c r="I46" s="31"/>
      <c r="J46" s="34" t="str">
        <f aca="true">IF(TRIM(A46)="","",IF(D46="Выполнено","Выполнено",IF(OR(C46="Срочно",AND(F46&lt;&gt;"",F46&lt;=TODAY())),"Срочные",IF(OR(D46="Отложено",C46="Низкий",AND(F46&lt;&gt;"",F46&gt;TODAY()+Справочники!$H$2)),"Плановые","Текущие"))))</f>
        <v/>
      </c>
      <c r="K46" s="35" t="str">
        <f aca="true">IF(OR(A46="",D46="Выполнено"),"",IF(F46="",IF(AND(G46&lt;&gt;"",G46&lt;&gt;"Разово"),"↻ "&amp;G46,""),IF(F46&lt;TODAY(),"Просрочено на "&amp;(TODAY()-F46)&amp;" дн.",IF(F46=TODAY(),"Сегодня",IF(F46=TODAY()+1,"Завтра","Через "&amp;(F46-TODAY())&amp;" дн.")))))</f>
        <v/>
      </c>
      <c r="L46" s="0" t="str">
        <f aca="true">IF(J46="","",(IF(AND(F46&lt;&gt;"",F46&lt;TODAY()),0,1)*10000000+IFERROR(MATCH(C46,{"Срочно","Высокий","Средний","Низкий"},0),5)*100000+IF(F46="",99999,F46))*1000+ROW())</f>
        <v/>
      </c>
      <c r="M46" s="0" t="str">
        <f aca="false">IF(AND($J46="Срочные",OR(Главная!$F$6="Все",$B46=Главная!$F$6),OR(Главная!$F$7="Все",$C46=Главная!$F$7)),$L46,"")</f>
        <v/>
      </c>
      <c r="N46" s="0" t="str">
        <f aca="false">IF(AND($J46="Текущие",OR(Главная!$F$6="Все",$B46=Главная!$F$6),OR(Главная!$F$7="Все",$C46=Главная!$F$7)),$L46,"")</f>
        <v/>
      </c>
      <c r="O46" s="0" t="str">
        <f aca="false">IF(AND($J46="Плановые",OR(Главная!$F$6="Все",$B46=Главная!$F$6),OR(Главная!$F$7="Все",$C46=Главная!$F$7)),$L46,"")</f>
        <v/>
      </c>
      <c r="P46" s="0" t="str">
        <f aca="false">IF(J46="Выполнено",ROW(),"")</f>
        <v/>
      </c>
    </row>
    <row r="47" customFormat="false" ht="21.75" hidden="false" customHeight="true" outlineLevel="0" collapsed="false">
      <c r="A47" s="31"/>
      <c r="B47" s="31"/>
      <c r="C47" s="32"/>
      <c r="D47" s="32"/>
      <c r="E47" s="33"/>
      <c r="F47" s="33"/>
      <c r="G47" s="32"/>
      <c r="H47" s="32"/>
      <c r="I47" s="31"/>
      <c r="J47" s="34" t="str">
        <f aca="true">IF(TRIM(A47)="","",IF(D47="Выполнено","Выполнено",IF(OR(C47="Срочно",AND(F47&lt;&gt;"",F47&lt;=TODAY())),"Срочные",IF(OR(D47="Отложено",C47="Низкий",AND(F47&lt;&gt;"",F47&gt;TODAY()+Справочники!$H$2)),"Плановые","Текущие"))))</f>
        <v/>
      </c>
      <c r="K47" s="35" t="str">
        <f aca="true">IF(OR(A47="",D47="Выполнено"),"",IF(F47="",IF(AND(G47&lt;&gt;"",G47&lt;&gt;"Разово"),"↻ "&amp;G47,""),IF(F47&lt;TODAY(),"Просрочено на "&amp;(TODAY()-F47)&amp;" дн.",IF(F47=TODAY(),"Сегодня",IF(F47=TODAY()+1,"Завтра","Через "&amp;(F47-TODAY())&amp;" дн.")))))</f>
        <v/>
      </c>
      <c r="L47" s="0" t="str">
        <f aca="true">IF(J47="","",(IF(AND(F47&lt;&gt;"",F47&lt;TODAY()),0,1)*10000000+IFERROR(MATCH(C47,{"Срочно","Высокий","Средний","Низкий"},0),5)*100000+IF(F47="",99999,F47))*1000+ROW())</f>
        <v/>
      </c>
      <c r="M47" s="0" t="str">
        <f aca="false">IF(AND($J47="Срочные",OR(Главная!$F$6="Все",$B47=Главная!$F$6),OR(Главная!$F$7="Все",$C47=Главная!$F$7)),$L47,"")</f>
        <v/>
      </c>
      <c r="N47" s="0" t="str">
        <f aca="false">IF(AND($J47="Текущие",OR(Главная!$F$6="Все",$B47=Главная!$F$6),OR(Главная!$F$7="Все",$C47=Главная!$F$7)),$L47,"")</f>
        <v/>
      </c>
      <c r="O47" s="0" t="str">
        <f aca="false">IF(AND($J47="Плановые",OR(Главная!$F$6="Все",$B47=Главная!$F$6),OR(Главная!$F$7="Все",$C47=Главная!$F$7)),$L47,"")</f>
        <v/>
      </c>
      <c r="P47" s="0" t="str">
        <f aca="false">IF(J47="Выполнено",ROW(),"")</f>
        <v/>
      </c>
    </row>
    <row r="48" customFormat="false" ht="21.75" hidden="false" customHeight="true" outlineLevel="0" collapsed="false">
      <c r="A48" s="31"/>
      <c r="B48" s="31"/>
      <c r="C48" s="32"/>
      <c r="D48" s="32"/>
      <c r="E48" s="33"/>
      <c r="F48" s="33"/>
      <c r="G48" s="32"/>
      <c r="H48" s="32"/>
      <c r="I48" s="31"/>
      <c r="J48" s="34" t="str">
        <f aca="true">IF(TRIM(A48)="","",IF(D48="Выполнено","Выполнено",IF(OR(C48="Срочно",AND(F48&lt;&gt;"",F48&lt;=TODAY())),"Срочные",IF(OR(D48="Отложено",C48="Низкий",AND(F48&lt;&gt;"",F48&gt;TODAY()+Справочники!$H$2)),"Плановые","Текущие"))))</f>
        <v/>
      </c>
      <c r="K48" s="35" t="str">
        <f aca="true">IF(OR(A48="",D48="Выполнено"),"",IF(F48="",IF(AND(G48&lt;&gt;"",G48&lt;&gt;"Разово"),"↻ "&amp;G48,""),IF(F48&lt;TODAY(),"Просрочено на "&amp;(TODAY()-F48)&amp;" дн.",IF(F48=TODAY(),"Сегодня",IF(F48=TODAY()+1,"Завтра","Через "&amp;(F48-TODAY())&amp;" дн.")))))</f>
        <v/>
      </c>
      <c r="L48" s="0" t="str">
        <f aca="true">IF(J48="","",(IF(AND(F48&lt;&gt;"",F48&lt;TODAY()),0,1)*10000000+IFERROR(MATCH(C48,{"Срочно","Высокий","Средний","Низкий"},0),5)*100000+IF(F48="",99999,F48))*1000+ROW())</f>
        <v/>
      </c>
      <c r="M48" s="0" t="str">
        <f aca="false">IF(AND($J48="Срочные",OR(Главная!$F$6="Все",$B48=Главная!$F$6),OR(Главная!$F$7="Все",$C48=Главная!$F$7)),$L48,"")</f>
        <v/>
      </c>
      <c r="N48" s="0" t="str">
        <f aca="false">IF(AND($J48="Текущие",OR(Главная!$F$6="Все",$B48=Главная!$F$6),OR(Главная!$F$7="Все",$C48=Главная!$F$7)),$L48,"")</f>
        <v/>
      </c>
      <c r="O48" s="0" t="str">
        <f aca="false">IF(AND($J48="Плановые",OR(Главная!$F$6="Все",$B48=Главная!$F$6),OR(Главная!$F$7="Все",$C48=Главная!$F$7)),$L48,"")</f>
        <v/>
      </c>
      <c r="P48" s="0" t="str">
        <f aca="false">IF(J48="Выполнено",ROW(),"")</f>
        <v/>
      </c>
    </row>
    <row r="49" customFormat="false" ht="21.75" hidden="false" customHeight="true" outlineLevel="0" collapsed="false">
      <c r="A49" s="31"/>
      <c r="B49" s="31"/>
      <c r="C49" s="32"/>
      <c r="D49" s="32"/>
      <c r="E49" s="33"/>
      <c r="F49" s="33"/>
      <c r="G49" s="32"/>
      <c r="H49" s="32"/>
      <c r="I49" s="31"/>
      <c r="J49" s="34" t="str">
        <f aca="true">IF(TRIM(A49)="","",IF(D49="Выполнено","Выполнено",IF(OR(C49="Срочно",AND(F49&lt;&gt;"",F49&lt;=TODAY())),"Срочные",IF(OR(D49="Отложено",C49="Низкий",AND(F49&lt;&gt;"",F49&gt;TODAY()+Справочники!$H$2)),"Плановые","Текущие"))))</f>
        <v/>
      </c>
      <c r="K49" s="35" t="str">
        <f aca="true">IF(OR(A49="",D49="Выполнено"),"",IF(F49="",IF(AND(G49&lt;&gt;"",G49&lt;&gt;"Разово"),"↻ "&amp;G49,""),IF(F49&lt;TODAY(),"Просрочено на "&amp;(TODAY()-F49)&amp;" дн.",IF(F49=TODAY(),"Сегодня",IF(F49=TODAY()+1,"Завтра","Через "&amp;(F49-TODAY())&amp;" дн.")))))</f>
        <v/>
      </c>
      <c r="L49" s="0" t="str">
        <f aca="true">IF(J49="","",(IF(AND(F49&lt;&gt;"",F49&lt;TODAY()),0,1)*10000000+IFERROR(MATCH(C49,{"Срочно","Высокий","Средний","Низкий"},0),5)*100000+IF(F49="",99999,F49))*1000+ROW())</f>
        <v/>
      </c>
      <c r="M49" s="0" t="str">
        <f aca="false">IF(AND($J49="Срочные",OR(Главная!$F$6="Все",$B49=Главная!$F$6),OR(Главная!$F$7="Все",$C49=Главная!$F$7)),$L49,"")</f>
        <v/>
      </c>
      <c r="N49" s="0" t="str">
        <f aca="false">IF(AND($J49="Текущие",OR(Главная!$F$6="Все",$B49=Главная!$F$6),OR(Главная!$F$7="Все",$C49=Главная!$F$7)),$L49,"")</f>
        <v/>
      </c>
      <c r="O49" s="0" t="str">
        <f aca="false">IF(AND($J49="Плановые",OR(Главная!$F$6="Все",$B49=Главная!$F$6),OR(Главная!$F$7="Все",$C49=Главная!$F$7)),$L49,"")</f>
        <v/>
      </c>
      <c r="P49" s="0" t="str">
        <f aca="false">IF(J49="Выполнено",ROW(),"")</f>
        <v/>
      </c>
    </row>
    <row r="50" customFormat="false" ht="21.75" hidden="false" customHeight="true" outlineLevel="0" collapsed="false">
      <c r="A50" s="31"/>
      <c r="B50" s="31"/>
      <c r="C50" s="32"/>
      <c r="D50" s="32"/>
      <c r="E50" s="33"/>
      <c r="F50" s="33"/>
      <c r="G50" s="32"/>
      <c r="H50" s="32"/>
      <c r="I50" s="31"/>
      <c r="J50" s="34" t="str">
        <f aca="true">IF(TRIM(A50)="","",IF(D50="Выполнено","Выполнено",IF(OR(C50="Срочно",AND(F50&lt;&gt;"",F50&lt;=TODAY())),"Срочные",IF(OR(D50="Отложено",C50="Низкий",AND(F50&lt;&gt;"",F50&gt;TODAY()+Справочники!$H$2)),"Плановые","Текущие"))))</f>
        <v/>
      </c>
      <c r="K50" s="35" t="str">
        <f aca="true">IF(OR(A50="",D50="Выполнено"),"",IF(F50="",IF(AND(G50&lt;&gt;"",G50&lt;&gt;"Разово"),"↻ "&amp;G50,""),IF(F50&lt;TODAY(),"Просрочено на "&amp;(TODAY()-F50)&amp;" дн.",IF(F50=TODAY(),"Сегодня",IF(F50=TODAY()+1,"Завтра","Через "&amp;(F50-TODAY())&amp;" дн.")))))</f>
        <v/>
      </c>
      <c r="L50" s="0" t="str">
        <f aca="true">IF(J50="","",(IF(AND(F50&lt;&gt;"",F50&lt;TODAY()),0,1)*10000000+IFERROR(MATCH(C50,{"Срочно","Высокий","Средний","Низкий"},0),5)*100000+IF(F50="",99999,F50))*1000+ROW())</f>
        <v/>
      </c>
      <c r="M50" s="0" t="str">
        <f aca="false">IF(AND($J50="Срочные",OR(Главная!$F$6="Все",$B50=Главная!$F$6),OR(Главная!$F$7="Все",$C50=Главная!$F$7)),$L50,"")</f>
        <v/>
      </c>
      <c r="N50" s="0" t="str">
        <f aca="false">IF(AND($J50="Текущие",OR(Главная!$F$6="Все",$B50=Главная!$F$6),OR(Главная!$F$7="Все",$C50=Главная!$F$7)),$L50,"")</f>
        <v/>
      </c>
      <c r="O50" s="0" t="str">
        <f aca="false">IF(AND($J50="Плановые",OR(Главная!$F$6="Все",$B50=Главная!$F$6),OR(Главная!$F$7="Все",$C50=Главная!$F$7)),$L50,"")</f>
        <v/>
      </c>
      <c r="P50" s="0" t="str">
        <f aca="false">IF(J50="Выполнено",ROW(),"")</f>
        <v/>
      </c>
    </row>
    <row r="51" customFormat="false" ht="21.75" hidden="false" customHeight="true" outlineLevel="0" collapsed="false">
      <c r="A51" s="31"/>
      <c r="B51" s="31"/>
      <c r="C51" s="32"/>
      <c r="D51" s="32"/>
      <c r="E51" s="33"/>
      <c r="F51" s="33"/>
      <c r="G51" s="32"/>
      <c r="H51" s="32"/>
      <c r="I51" s="31"/>
      <c r="J51" s="34" t="str">
        <f aca="true">IF(TRIM(A51)="","",IF(D51="Выполнено","Выполнено",IF(OR(C51="Срочно",AND(F51&lt;&gt;"",F51&lt;=TODAY())),"Срочные",IF(OR(D51="Отложено",C51="Низкий",AND(F51&lt;&gt;"",F51&gt;TODAY()+Справочники!$H$2)),"Плановые","Текущие"))))</f>
        <v/>
      </c>
      <c r="K51" s="35" t="str">
        <f aca="true">IF(OR(A51="",D51="Выполнено"),"",IF(F51="",IF(AND(G51&lt;&gt;"",G51&lt;&gt;"Разово"),"↻ "&amp;G51,""),IF(F51&lt;TODAY(),"Просрочено на "&amp;(TODAY()-F51)&amp;" дн.",IF(F51=TODAY(),"Сегодня",IF(F51=TODAY()+1,"Завтра","Через "&amp;(F51-TODAY())&amp;" дн.")))))</f>
        <v/>
      </c>
      <c r="L51" s="0" t="str">
        <f aca="true">IF(J51="","",(IF(AND(F51&lt;&gt;"",F51&lt;TODAY()),0,1)*10000000+IFERROR(MATCH(C51,{"Срочно","Высокий","Средний","Низкий"},0),5)*100000+IF(F51="",99999,F51))*1000+ROW())</f>
        <v/>
      </c>
      <c r="M51" s="0" t="str">
        <f aca="false">IF(AND($J51="Срочные",OR(Главная!$F$6="Все",$B51=Главная!$F$6),OR(Главная!$F$7="Все",$C51=Главная!$F$7)),$L51,"")</f>
        <v/>
      </c>
      <c r="N51" s="0" t="str">
        <f aca="false">IF(AND($J51="Текущие",OR(Главная!$F$6="Все",$B51=Главная!$F$6),OR(Главная!$F$7="Все",$C51=Главная!$F$7)),$L51,"")</f>
        <v/>
      </c>
      <c r="O51" s="0" t="str">
        <f aca="false">IF(AND($J51="Плановые",OR(Главная!$F$6="Все",$B51=Главная!$F$6),OR(Главная!$F$7="Все",$C51=Главная!$F$7)),$L51,"")</f>
        <v/>
      </c>
      <c r="P51" s="0" t="str">
        <f aca="false">IF(J51="Выполнено",ROW(),"")</f>
        <v/>
      </c>
    </row>
    <row r="52" customFormat="false" ht="21.75" hidden="false" customHeight="true" outlineLevel="0" collapsed="false">
      <c r="A52" s="31"/>
      <c r="B52" s="31"/>
      <c r="C52" s="32"/>
      <c r="D52" s="32"/>
      <c r="E52" s="33"/>
      <c r="F52" s="33"/>
      <c r="G52" s="32"/>
      <c r="H52" s="32"/>
      <c r="I52" s="31"/>
      <c r="J52" s="34" t="str">
        <f aca="true">IF(TRIM(A52)="","",IF(D52="Выполнено","Выполнено",IF(OR(C52="Срочно",AND(F52&lt;&gt;"",F52&lt;=TODAY())),"Срочные",IF(OR(D52="Отложено",C52="Низкий",AND(F52&lt;&gt;"",F52&gt;TODAY()+Справочники!$H$2)),"Плановые","Текущие"))))</f>
        <v/>
      </c>
      <c r="K52" s="35" t="str">
        <f aca="true">IF(OR(A52="",D52="Выполнено"),"",IF(F52="",IF(AND(G52&lt;&gt;"",G52&lt;&gt;"Разово"),"↻ "&amp;G52,""),IF(F52&lt;TODAY(),"Просрочено на "&amp;(TODAY()-F52)&amp;" дн.",IF(F52=TODAY(),"Сегодня",IF(F52=TODAY()+1,"Завтра","Через "&amp;(F52-TODAY())&amp;" дн.")))))</f>
        <v/>
      </c>
      <c r="L52" s="0" t="str">
        <f aca="true">IF(J52="","",(IF(AND(F52&lt;&gt;"",F52&lt;TODAY()),0,1)*10000000+IFERROR(MATCH(C52,{"Срочно","Высокий","Средний","Низкий"},0),5)*100000+IF(F52="",99999,F52))*1000+ROW())</f>
        <v/>
      </c>
      <c r="M52" s="0" t="str">
        <f aca="false">IF(AND($J52="Срочные",OR(Главная!$F$6="Все",$B52=Главная!$F$6),OR(Главная!$F$7="Все",$C52=Главная!$F$7)),$L52,"")</f>
        <v/>
      </c>
      <c r="N52" s="0" t="str">
        <f aca="false">IF(AND($J52="Текущие",OR(Главная!$F$6="Все",$B52=Главная!$F$6),OR(Главная!$F$7="Все",$C52=Главная!$F$7)),$L52,"")</f>
        <v/>
      </c>
      <c r="O52" s="0" t="str">
        <f aca="false">IF(AND($J52="Плановые",OR(Главная!$F$6="Все",$B52=Главная!$F$6),OR(Главная!$F$7="Все",$C52=Главная!$F$7)),$L52,"")</f>
        <v/>
      </c>
      <c r="P52" s="0" t="str">
        <f aca="false">IF(J52="Выполнено",ROW(),"")</f>
        <v/>
      </c>
    </row>
    <row r="53" customFormat="false" ht="21.75" hidden="false" customHeight="true" outlineLevel="0" collapsed="false">
      <c r="A53" s="31"/>
      <c r="B53" s="31"/>
      <c r="C53" s="32"/>
      <c r="D53" s="32"/>
      <c r="E53" s="33"/>
      <c r="F53" s="33"/>
      <c r="G53" s="32"/>
      <c r="H53" s="32"/>
      <c r="I53" s="31"/>
      <c r="J53" s="34" t="str">
        <f aca="true">IF(TRIM(A53)="","",IF(D53="Выполнено","Выполнено",IF(OR(C53="Срочно",AND(F53&lt;&gt;"",F53&lt;=TODAY())),"Срочные",IF(OR(D53="Отложено",C53="Низкий",AND(F53&lt;&gt;"",F53&gt;TODAY()+Справочники!$H$2)),"Плановые","Текущие"))))</f>
        <v/>
      </c>
      <c r="K53" s="35" t="str">
        <f aca="true">IF(OR(A53="",D53="Выполнено"),"",IF(F53="",IF(AND(G53&lt;&gt;"",G53&lt;&gt;"Разово"),"↻ "&amp;G53,""),IF(F53&lt;TODAY(),"Просрочено на "&amp;(TODAY()-F53)&amp;" дн.",IF(F53=TODAY(),"Сегодня",IF(F53=TODAY()+1,"Завтра","Через "&amp;(F53-TODAY())&amp;" дн.")))))</f>
        <v/>
      </c>
      <c r="L53" s="0" t="str">
        <f aca="true">IF(J53="","",(IF(AND(F53&lt;&gt;"",F53&lt;TODAY()),0,1)*10000000+IFERROR(MATCH(C53,{"Срочно","Высокий","Средний","Низкий"},0),5)*100000+IF(F53="",99999,F53))*1000+ROW())</f>
        <v/>
      </c>
      <c r="M53" s="0" t="str">
        <f aca="false">IF(AND($J53="Срочные",OR(Главная!$F$6="Все",$B53=Главная!$F$6),OR(Главная!$F$7="Все",$C53=Главная!$F$7)),$L53,"")</f>
        <v/>
      </c>
      <c r="N53" s="0" t="str">
        <f aca="false">IF(AND($J53="Текущие",OR(Главная!$F$6="Все",$B53=Главная!$F$6),OR(Главная!$F$7="Все",$C53=Главная!$F$7)),$L53,"")</f>
        <v/>
      </c>
      <c r="O53" s="0" t="str">
        <f aca="false">IF(AND($J53="Плановые",OR(Главная!$F$6="Все",$B53=Главная!$F$6),OR(Главная!$F$7="Все",$C53=Главная!$F$7)),$L53,"")</f>
        <v/>
      </c>
      <c r="P53" s="0" t="str">
        <f aca="false">IF(J53="Выполнено",ROW(),"")</f>
        <v/>
      </c>
    </row>
    <row r="54" customFormat="false" ht="21.75" hidden="false" customHeight="true" outlineLevel="0" collapsed="false">
      <c r="A54" s="31"/>
      <c r="B54" s="31"/>
      <c r="C54" s="32"/>
      <c r="D54" s="32"/>
      <c r="E54" s="33"/>
      <c r="F54" s="33"/>
      <c r="G54" s="32"/>
      <c r="H54" s="32"/>
      <c r="I54" s="31"/>
      <c r="J54" s="34" t="str">
        <f aca="true">IF(TRIM(A54)="","",IF(D54="Выполнено","Выполнено",IF(OR(C54="Срочно",AND(F54&lt;&gt;"",F54&lt;=TODAY())),"Срочные",IF(OR(D54="Отложено",C54="Низкий",AND(F54&lt;&gt;"",F54&gt;TODAY()+Справочники!$H$2)),"Плановые","Текущие"))))</f>
        <v/>
      </c>
      <c r="K54" s="35" t="str">
        <f aca="true">IF(OR(A54="",D54="Выполнено"),"",IF(F54="",IF(AND(G54&lt;&gt;"",G54&lt;&gt;"Разово"),"↻ "&amp;G54,""),IF(F54&lt;TODAY(),"Просрочено на "&amp;(TODAY()-F54)&amp;" дн.",IF(F54=TODAY(),"Сегодня",IF(F54=TODAY()+1,"Завтра","Через "&amp;(F54-TODAY())&amp;" дн.")))))</f>
        <v/>
      </c>
      <c r="L54" s="0" t="str">
        <f aca="true">IF(J54="","",(IF(AND(F54&lt;&gt;"",F54&lt;TODAY()),0,1)*10000000+IFERROR(MATCH(C54,{"Срочно","Высокий","Средний","Низкий"},0),5)*100000+IF(F54="",99999,F54))*1000+ROW())</f>
        <v/>
      </c>
      <c r="M54" s="0" t="str">
        <f aca="false">IF(AND($J54="Срочные",OR(Главная!$F$6="Все",$B54=Главная!$F$6),OR(Главная!$F$7="Все",$C54=Главная!$F$7)),$L54,"")</f>
        <v/>
      </c>
      <c r="N54" s="0" t="str">
        <f aca="false">IF(AND($J54="Текущие",OR(Главная!$F$6="Все",$B54=Главная!$F$6),OR(Главная!$F$7="Все",$C54=Главная!$F$7)),$L54,"")</f>
        <v/>
      </c>
      <c r="O54" s="0" t="str">
        <f aca="false">IF(AND($J54="Плановые",OR(Главная!$F$6="Все",$B54=Главная!$F$6),OR(Главная!$F$7="Все",$C54=Главная!$F$7)),$L54,"")</f>
        <v/>
      </c>
      <c r="P54" s="0" t="str">
        <f aca="false">IF(J54="Выполнено",ROW(),"")</f>
        <v/>
      </c>
    </row>
    <row r="55" customFormat="false" ht="21.75" hidden="false" customHeight="true" outlineLevel="0" collapsed="false">
      <c r="A55" s="31"/>
      <c r="B55" s="31"/>
      <c r="C55" s="32"/>
      <c r="D55" s="32"/>
      <c r="E55" s="33"/>
      <c r="F55" s="33"/>
      <c r="G55" s="32"/>
      <c r="H55" s="32"/>
      <c r="I55" s="31"/>
      <c r="J55" s="34" t="str">
        <f aca="true">IF(TRIM(A55)="","",IF(D55="Выполнено","Выполнено",IF(OR(C55="Срочно",AND(F55&lt;&gt;"",F55&lt;=TODAY())),"Срочные",IF(OR(D55="Отложено",C55="Низкий",AND(F55&lt;&gt;"",F55&gt;TODAY()+Справочники!$H$2)),"Плановые","Текущие"))))</f>
        <v/>
      </c>
      <c r="K55" s="35" t="str">
        <f aca="true">IF(OR(A55="",D55="Выполнено"),"",IF(F55="",IF(AND(G55&lt;&gt;"",G55&lt;&gt;"Разово"),"↻ "&amp;G55,""),IF(F55&lt;TODAY(),"Просрочено на "&amp;(TODAY()-F55)&amp;" дн.",IF(F55=TODAY(),"Сегодня",IF(F55=TODAY()+1,"Завтра","Через "&amp;(F55-TODAY())&amp;" дн.")))))</f>
        <v/>
      </c>
      <c r="L55" s="0" t="str">
        <f aca="true">IF(J55="","",(IF(AND(F55&lt;&gt;"",F55&lt;TODAY()),0,1)*10000000+IFERROR(MATCH(C55,{"Срочно","Высокий","Средний","Низкий"},0),5)*100000+IF(F55="",99999,F55))*1000+ROW())</f>
        <v/>
      </c>
      <c r="M55" s="0" t="str">
        <f aca="false">IF(AND($J55="Срочные",OR(Главная!$F$6="Все",$B55=Главная!$F$6),OR(Главная!$F$7="Все",$C55=Главная!$F$7)),$L55,"")</f>
        <v/>
      </c>
      <c r="N55" s="0" t="str">
        <f aca="false">IF(AND($J55="Текущие",OR(Главная!$F$6="Все",$B55=Главная!$F$6),OR(Главная!$F$7="Все",$C55=Главная!$F$7)),$L55,"")</f>
        <v/>
      </c>
      <c r="O55" s="0" t="str">
        <f aca="false">IF(AND($J55="Плановые",OR(Главная!$F$6="Все",$B55=Главная!$F$6),OR(Главная!$F$7="Все",$C55=Главная!$F$7)),$L55,"")</f>
        <v/>
      </c>
      <c r="P55" s="0" t="str">
        <f aca="false">IF(J55="Выполнено",ROW(),"")</f>
        <v/>
      </c>
    </row>
    <row r="56" customFormat="false" ht="21.75" hidden="false" customHeight="true" outlineLevel="0" collapsed="false">
      <c r="A56" s="31"/>
      <c r="B56" s="31"/>
      <c r="C56" s="32"/>
      <c r="D56" s="32"/>
      <c r="E56" s="33"/>
      <c r="F56" s="33"/>
      <c r="G56" s="32"/>
      <c r="H56" s="32"/>
      <c r="I56" s="31"/>
      <c r="J56" s="34" t="str">
        <f aca="true">IF(TRIM(A56)="","",IF(D56="Выполнено","Выполнено",IF(OR(C56="Срочно",AND(F56&lt;&gt;"",F56&lt;=TODAY())),"Срочные",IF(OR(D56="Отложено",C56="Низкий",AND(F56&lt;&gt;"",F56&gt;TODAY()+Справочники!$H$2)),"Плановые","Текущие"))))</f>
        <v/>
      </c>
      <c r="K56" s="35" t="str">
        <f aca="true">IF(OR(A56="",D56="Выполнено"),"",IF(F56="",IF(AND(G56&lt;&gt;"",G56&lt;&gt;"Разово"),"↻ "&amp;G56,""),IF(F56&lt;TODAY(),"Просрочено на "&amp;(TODAY()-F56)&amp;" дн.",IF(F56=TODAY(),"Сегодня",IF(F56=TODAY()+1,"Завтра","Через "&amp;(F56-TODAY())&amp;" дн.")))))</f>
        <v/>
      </c>
      <c r="L56" s="0" t="str">
        <f aca="true">IF(J56="","",(IF(AND(F56&lt;&gt;"",F56&lt;TODAY()),0,1)*10000000+IFERROR(MATCH(C56,{"Срочно","Высокий","Средний","Низкий"},0),5)*100000+IF(F56="",99999,F56))*1000+ROW())</f>
        <v/>
      </c>
      <c r="M56" s="0" t="str">
        <f aca="false">IF(AND($J56="Срочные",OR(Главная!$F$6="Все",$B56=Главная!$F$6),OR(Главная!$F$7="Все",$C56=Главная!$F$7)),$L56,"")</f>
        <v/>
      </c>
      <c r="N56" s="0" t="str">
        <f aca="false">IF(AND($J56="Текущие",OR(Главная!$F$6="Все",$B56=Главная!$F$6),OR(Главная!$F$7="Все",$C56=Главная!$F$7)),$L56,"")</f>
        <v/>
      </c>
      <c r="O56" s="0" t="str">
        <f aca="false">IF(AND($J56="Плановые",OR(Главная!$F$6="Все",$B56=Главная!$F$6),OR(Главная!$F$7="Все",$C56=Главная!$F$7)),$L56,"")</f>
        <v/>
      </c>
      <c r="P56" s="0" t="str">
        <f aca="false">IF(J56="Выполнено",ROW(),"")</f>
        <v/>
      </c>
    </row>
    <row r="57" customFormat="false" ht="21.75" hidden="false" customHeight="true" outlineLevel="0" collapsed="false">
      <c r="A57" s="31"/>
      <c r="B57" s="31"/>
      <c r="C57" s="32"/>
      <c r="D57" s="32"/>
      <c r="E57" s="33"/>
      <c r="F57" s="33"/>
      <c r="G57" s="32"/>
      <c r="H57" s="32"/>
      <c r="I57" s="31"/>
      <c r="J57" s="34" t="str">
        <f aca="true">IF(TRIM(A57)="","",IF(D57="Выполнено","Выполнено",IF(OR(C57="Срочно",AND(F57&lt;&gt;"",F57&lt;=TODAY())),"Срочные",IF(OR(D57="Отложено",C57="Низкий",AND(F57&lt;&gt;"",F57&gt;TODAY()+Справочники!$H$2)),"Плановые","Текущие"))))</f>
        <v/>
      </c>
      <c r="K57" s="35" t="str">
        <f aca="true">IF(OR(A57="",D57="Выполнено"),"",IF(F57="",IF(AND(G57&lt;&gt;"",G57&lt;&gt;"Разово"),"↻ "&amp;G57,""),IF(F57&lt;TODAY(),"Просрочено на "&amp;(TODAY()-F57)&amp;" дн.",IF(F57=TODAY(),"Сегодня",IF(F57=TODAY()+1,"Завтра","Через "&amp;(F57-TODAY())&amp;" дн.")))))</f>
        <v/>
      </c>
      <c r="L57" s="0" t="str">
        <f aca="true">IF(J57="","",(IF(AND(F57&lt;&gt;"",F57&lt;TODAY()),0,1)*10000000+IFERROR(MATCH(C57,{"Срочно","Высокий","Средний","Низкий"},0),5)*100000+IF(F57="",99999,F57))*1000+ROW())</f>
        <v/>
      </c>
      <c r="M57" s="0" t="str">
        <f aca="false">IF(AND($J57="Срочные",OR(Главная!$F$6="Все",$B57=Главная!$F$6),OR(Главная!$F$7="Все",$C57=Главная!$F$7)),$L57,"")</f>
        <v/>
      </c>
      <c r="N57" s="0" t="str">
        <f aca="false">IF(AND($J57="Текущие",OR(Главная!$F$6="Все",$B57=Главная!$F$6),OR(Главная!$F$7="Все",$C57=Главная!$F$7)),$L57,"")</f>
        <v/>
      </c>
      <c r="O57" s="0" t="str">
        <f aca="false">IF(AND($J57="Плановые",OR(Главная!$F$6="Все",$B57=Главная!$F$6),OR(Главная!$F$7="Все",$C57=Главная!$F$7)),$L57,"")</f>
        <v/>
      </c>
      <c r="P57" s="0" t="str">
        <f aca="false">IF(J57="Выполнено",ROW(),"")</f>
        <v/>
      </c>
    </row>
    <row r="58" customFormat="false" ht="21.75" hidden="false" customHeight="true" outlineLevel="0" collapsed="false">
      <c r="A58" s="31"/>
      <c r="B58" s="31"/>
      <c r="C58" s="32"/>
      <c r="D58" s="32"/>
      <c r="E58" s="33"/>
      <c r="F58" s="33"/>
      <c r="G58" s="32"/>
      <c r="H58" s="32"/>
      <c r="I58" s="31"/>
      <c r="J58" s="34" t="str">
        <f aca="true">IF(TRIM(A58)="","",IF(D58="Выполнено","Выполнено",IF(OR(C58="Срочно",AND(F58&lt;&gt;"",F58&lt;=TODAY())),"Срочные",IF(OR(D58="Отложено",C58="Низкий",AND(F58&lt;&gt;"",F58&gt;TODAY()+Справочники!$H$2)),"Плановые","Текущие"))))</f>
        <v/>
      </c>
      <c r="K58" s="35" t="str">
        <f aca="true">IF(OR(A58="",D58="Выполнено"),"",IF(F58="",IF(AND(G58&lt;&gt;"",G58&lt;&gt;"Разово"),"↻ "&amp;G58,""),IF(F58&lt;TODAY(),"Просрочено на "&amp;(TODAY()-F58)&amp;" дн.",IF(F58=TODAY(),"Сегодня",IF(F58=TODAY()+1,"Завтра","Через "&amp;(F58-TODAY())&amp;" дн.")))))</f>
        <v/>
      </c>
      <c r="L58" s="0" t="str">
        <f aca="true">IF(J58="","",(IF(AND(F58&lt;&gt;"",F58&lt;TODAY()),0,1)*10000000+IFERROR(MATCH(C58,{"Срочно","Высокий","Средний","Низкий"},0),5)*100000+IF(F58="",99999,F58))*1000+ROW())</f>
        <v/>
      </c>
      <c r="M58" s="0" t="str">
        <f aca="false">IF(AND($J58="Срочные",OR(Главная!$F$6="Все",$B58=Главная!$F$6),OR(Главная!$F$7="Все",$C58=Главная!$F$7)),$L58,"")</f>
        <v/>
      </c>
      <c r="N58" s="0" t="str">
        <f aca="false">IF(AND($J58="Текущие",OR(Главная!$F$6="Все",$B58=Главная!$F$6),OR(Главная!$F$7="Все",$C58=Главная!$F$7)),$L58,"")</f>
        <v/>
      </c>
      <c r="O58" s="0" t="str">
        <f aca="false">IF(AND($J58="Плановые",OR(Главная!$F$6="Все",$B58=Главная!$F$6),OR(Главная!$F$7="Все",$C58=Главная!$F$7)),$L58,"")</f>
        <v/>
      </c>
      <c r="P58" s="0" t="str">
        <f aca="false">IF(J58="Выполнено",ROW(),"")</f>
        <v/>
      </c>
    </row>
    <row r="59" customFormat="false" ht="21.75" hidden="false" customHeight="true" outlineLevel="0" collapsed="false">
      <c r="A59" s="31"/>
      <c r="B59" s="31"/>
      <c r="C59" s="32"/>
      <c r="D59" s="32"/>
      <c r="E59" s="33"/>
      <c r="F59" s="33"/>
      <c r="G59" s="32"/>
      <c r="H59" s="32"/>
      <c r="I59" s="31"/>
      <c r="J59" s="34" t="str">
        <f aca="true">IF(TRIM(A59)="","",IF(D59="Выполнено","Выполнено",IF(OR(C59="Срочно",AND(F59&lt;&gt;"",F59&lt;=TODAY())),"Срочные",IF(OR(D59="Отложено",C59="Низкий",AND(F59&lt;&gt;"",F59&gt;TODAY()+Справочники!$H$2)),"Плановые","Текущие"))))</f>
        <v/>
      </c>
      <c r="K59" s="35" t="str">
        <f aca="true">IF(OR(A59="",D59="Выполнено"),"",IF(F59="",IF(AND(G59&lt;&gt;"",G59&lt;&gt;"Разово"),"↻ "&amp;G59,""),IF(F59&lt;TODAY(),"Просрочено на "&amp;(TODAY()-F59)&amp;" дн.",IF(F59=TODAY(),"Сегодня",IF(F59=TODAY()+1,"Завтра","Через "&amp;(F59-TODAY())&amp;" дн.")))))</f>
        <v/>
      </c>
      <c r="L59" s="0" t="str">
        <f aca="true">IF(J59="","",(IF(AND(F59&lt;&gt;"",F59&lt;TODAY()),0,1)*10000000+IFERROR(MATCH(C59,{"Срочно","Высокий","Средний","Низкий"},0),5)*100000+IF(F59="",99999,F59))*1000+ROW())</f>
        <v/>
      </c>
      <c r="M59" s="0" t="str">
        <f aca="false">IF(AND($J59="Срочные",OR(Главная!$F$6="Все",$B59=Главная!$F$6),OR(Главная!$F$7="Все",$C59=Главная!$F$7)),$L59,"")</f>
        <v/>
      </c>
      <c r="N59" s="0" t="str">
        <f aca="false">IF(AND($J59="Текущие",OR(Главная!$F$6="Все",$B59=Главная!$F$6),OR(Главная!$F$7="Все",$C59=Главная!$F$7)),$L59,"")</f>
        <v/>
      </c>
      <c r="O59" s="0" t="str">
        <f aca="false">IF(AND($J59="Плановые",OR(Главная!$F$6="Все",$B59=Главная!$F$6),OR(Главная!$F$7="Все",$C59=Главная!$F$7)),$L59,"")</f>
        <v/>
      </c>
      <c r="P59" s="0" t="str">
        <f aca="false">IF(J59="Выполнено",ROW(),"")</f>
        <v/>
      </c>
    </row>
    <row r="60" customFormat="false" ht="21.75" hidden="false" customHeight="true" outlineLevel="0" collapsed="false">
      <c r="A60" s="31"/>
      <c r="B60" s="31"/>
      <c r="C60" s="32"/>
      <c r="D60" s="32"/>
      <c r="E60" s="33"/>
      <c r="F60" s="33"/>
      <c r="G60" s="32"/>
      <c r="H60" s="32"/>
      <c r="I60" s="31"/>
      <c r="J60" s="34" t="str">
        <f aca="true">IF(TRIM(A60)="","",IF(D60="Выполнено","Выполнено",IF(OR(C60="Срочно",AND(F60&lt;&gt;"",F60&lt;=TODAY())),"Срочные",IF(OR(D60="Отложено",C60="Низкий",AND(F60&lt;&gt;"",F60&gt;TODAY()+Справочники!$H$2)),"Плановые","Текущие"))))</f>
        <v/>
      </c>
      <c r="K60" s="35" t="str">
        <f aca="true">IF(OR(A60="",D60="Выполнено"),"",IF(F60="",IF(AND(G60&lt;&gt;"",G60&lt;&gt;"Разово"),"↻ "&amp;G60,""),IF(F60&lt;TODAY(),"Просрочено на "&amp;(TODAY()-F60)&amp;" дн.",IF(F60=TODAY(),"Сегодня",IF(F60=TODAY()+1,"Завтра","Через "&amp;(F60-TODAY())&amp;" дн.")))))</f>
        <v/>
      </c>
      <c r="L60" s="0" t="str">
        <f aca="true">IF(J60="","",(IF(AND(F60&lt;&gt;"",F60&lt;TODAY()),0,1)*10000000+IFERROR(MATCH(C60,{"Срочно","Высокий","Средний","Низкий"},0),5)*100000+IF(F60="",99999,F60))*1000+ROW())</f>
        <v/>
      </c>
      <c r="M60" s="0" t="str">
        <f aca="false">IF(AND($J60="Срочные",OR(Главная!$F$6="Все",$B60=Главная!$F$6),OR(Главная!$F$7="Все",$C60=Главная!$F$7)),$L60,"")</f>
        <v/>
      </c>
      <c r="N60" s="0" t="str">
        <f aca="false">IF(AND($J60="Текущие",OR(Главная!$F$6="Все",$B60=Главная!$F$6),OR(Главная!$F$7="Все",$C60=Главная!$F$7)),$L60,"")</f>
        <v/>
      </c>
      <c r="O60" s="0" t="str">
        <f aca="false">IF(AND($J60="Плановые",OR(Главная!$F$6="Все",$B60=Главная!$F$6),OR(Главная!$F$7="Все",$C60=Главная!$F$7)),$L60,"")</f>
        <v/>
      </c>
      <c r="P60" s="0" t="str">
        <f aca="false">IF(J60="Выполнено",ROW(),"")</f>
        <v/>
      </c>
    </row>
    <row r="61" customFormat="false" ht="21.75" hidden="false" customHeight="true" outlineLevel="0" collapsed="false">
      <c r="A61" s="31"/>
      <c r="B61" s="31"/>
      <c r="C61" s="32"/>
      <c r="D61" s="32"/>
      <c r="E61" s="33"/>
      <c r="F61" s="33"/>
      <c r="G61" s="32"/>
      <c r="H61" s="32"/>
      <c r="I61" s="31"/>
      <c r="J61" s="34" t="str">
        <f aca="true">IF(TRIM(A61)="","",IF(D61="Выполнено","Выполнено",IF(OR(C61="Срочно",AND(F61&lt;&gt;"",F61&lt;=TODAY())),"Срочные",IF(OR(D61="Отложено",C61="Низкий",AND(F61&lt;&gt;"",F61&gt;TODAY()+Справочники!$H$2)),"Плановые","Текущие"))))</f>
        <v/>
      </c>
      <c r="K61" s="35" t="str">
        <f aca="true">IF(OR(A61="",D61="Выполнено"),"",IF(F61="",IF(AND(G61&lt;&gt;"",G61&lt;&gt;"Разово"),"↻ "&amp;G61,""),IF(F61&lt;TODAY(),"Просрочено на "&amp;(TODAY()-F61)&amp;" дн.",IF(F61=TODAY(),"Сегодня",IF(F61=TODAY()+1,"Завтра","Через "&amp;(F61-TODAY())&amp;" дн.")))))</f>
        <v/>
      </c>
      <c r="L61" s="0" t="str">
        <f aca="true">IF(J61="","",(IF(AND(F61&lt;&gt;"",F61&lt;TODAY()),0,1)*10000000+IFERROR(MATCH(C61,{"Срочно","Высокий","Средний","Низкий"},0),5)*100000+IF(F61="",99999,F61))*1000+ROW())</f>
        <v/>
      </c>
      <c r="M61" s="0" t="str">
        <f aca="false">IF(AND($J61="Срочные",OR(Главная!$F$6="Все",$B61=Главная!$F$6),OR(Главная!$F$7="Все",$C61=Главная!$F$7)),$L61,"")</f>
        <v/>
      </c>
      <c r="N61" s="0" t="str">
        <f aca="false">IF(AND($J61="Текущие",OR(Главная!$F$6="Все",$B61=Главная!$F$6),OR(Главная!$F$7="Все",$C61=Главная!$F$7)),$L61,"")</f>
        <v/>
      </c>
      <c r="O61" s="0" t="str">
        <f aca="false">IF(AND($J61="Плановые",OR(Главная!$F$6="Все",$B61=Главная!$F$6),OR(Главная!$F$7="Все",$C61=Главная!$F$7)),$L61,"")</f>
        <v/>
      </c>
      <c r="P61" s="0" t="str">
        <f aca="false">IF(J61="Выполнено",ROW(),"")</f>
        <v/>
      </c>
    </row>
    <row r="62" customFormat="false" ht="21.75" hidden="false" customHeight="true" outlineLevel="0" collapsed="false">
      <c r="A62" s="31"/>
      <c r="B62" s="31"/>
      <c r="C62" s="32"/>
      <c r="D62" s="32"/>
      <c r="E62" s="33"/>
      <c r="F62" s="33"/>
      <c r="G62" s="32"/>
      <c r="H62" s="32"/>
      <c r="I62" s="31"/>
      <c r="J62" s="34" t="str">
        <f aca="true">IF(TRIM(A62)="","",IF(D62="Выполнено","Выполнено",IF(OR(C62="Срочно",AND(F62&lt;&gt;"",F62&lt;=TODAY())),"Срочные",IF(OR(D62="Отложено",C62="Низкий",AND(F62&lt;&gt;"",F62&gt;TODAY()+Справочники!$H$2)),"Плановые","Текущие"))))</f>
        <v/>
      </c>
      <c r="K62" s="35" t="str">
        <f aca="true">IF(OR(A62="",D62="Выполнено"),"",IF(F62="",IF(AND(G62&lt;&gt;"",G62&lt;&gt;"Разово"),"↻ "&amp;G62,""),IF(F62&lt;TODAY(),"Просрочено на "&amp;(TODAY()-F62)&amp;" дн.",IF(F62=TODAY(),"Сегодня",IF(F62=TODAY()+1,"Завтра","Через "&amp;(F62-TODAY())&amp;" дн.")))))</f>
        <v/>
      </c>
      <c r="L62" s="0" t="str">
        <f aca="true">IF(J62="","",(IF(AND(F62&lt;&gt;"",F62&lt;TODAY()),0,1)*10000000+IFERROR(MATCH(C62,{"Срочно","Высокий","Средний","Низкий"},0),5)*100000+IF(F62="",99999,F62))*1000+ROW())</f>
        <v/>
      </c>
      <c r="M62" s="0" t="str">
        <f aca="false">IF(AND($J62="Срочные",OR(Главная!$F$6="Все",$B62=Главная!$F$6),OR(Главная!$F$7="Все",$C62=Главная!$F$7)),$L62,"")</f>
        <v/>
      </c>
      <c r="N62" s="0" t="str">
        <f aca="false">IF(AND($J62="Текущие",OR(Главная!$F$6="Все",$B62=Главная!$F$6),OR(Главная!$F$7="Все",$C62=Главная!$F$7)),$L62,"")</f>
        <v/>
      </c>
      <c r="O62" s="0" t="str">
        <f aca="false">IF(AND($J62="Плановые",OR(Главная!$F$6="Все",$B62=Главная!$F$6),OR(Главная!$F$7="Все",$C62=Главная!$F$7)),$L62,"")</f>
        <v/>
      </c>
      <c r="P62" s="0" t="str">
        <f aca="false">IF(J62="Выполнено",ROW(),"")</f>
        <v/>
      </c>
    </row>
    <row r="63" customFormat="false" ht="21.75" hidden="false" customHeight="true" outlineLevel="0" collapsed="false">
      <c r="A63" s="31"/>
      <c r="B63" s="31"/>
      <c r="C63" s="32"/>
      <c r="D63" s="32"/>
      <c r="E63" s="33"/>
      <c r="F63" s="33"/>
      <c r="G63" s="32"/>
      <c r="H63" s="32"/>
      <c r="I63" s="31"/>
      <c r="J63" s="34" t="str">
        <f aca="true">IF(TRIM(A63)="","",IF(D63="Выполнено","Выполнено",IF(OR(C63="Срочно",AND(F63&lt;&gt;"",F63&lt;=TODAY())),"Срочные",IF(OR(D63="Отложено",C63="Низкий",AND(F63&lt;&gt;"",F63&gt;TODAY()+Справочники!$H$2)),"Плановые","Текущие"))))</f>
        <v/>
      </c>
      <c r="K63" s="35" t="str">
        <f aca="true">IF(OR(A63="",D63="Выполнено"),"",IF(F63="",IF(AND(G63&lt;&gt;"",G63&lt;&gt;"Разово"),"↻ "&amp;G63,""),IF(F63&lt;TODAY(),"Просрочено на "&amp;(TODAY()-F63)&amp;" дн.",IF(F63=TODAY(),"Сегодня",IF(F63=TODAY()+1,"Завтра","Через "&amp;(F63-TODAY())&amp;" дн.")))))</f>
        <v/>
      </c>
      <c r="L63" s="0" t="str">
        <f aca="true">IF(J63="","",(IF(AND(F63&lt;&gt;"",F63&lt;TODAY()),0,1)*10000000+IFERROR(MATCH(C63,{"Срочно","Высокий","Средний","Низкий"},0),5)*100000+IF(F63="",99999,F63))*1000+ROW())</f>
        <v/>
      </c>
      <c r="M63" s="0" t="str">
        <f aca="false">IF(AND($J63="Срочные",OR(Главная!$F$6="Все",$B63=Главная!$F$6),OR(Главная!$F$7="Все",$C63=Главная!$F$7)),$L63,"")</f>
        <v/>
      </c>
      <c r="N63" s="0" t="str">
        <f aca="false">IF(AND($J63="Текущие",OR(Главная!$F$6="Все",$B63=Главная!$F$6),OR(Главная!$F$7="Все",$C63=Главная!$F$7)),$L63,"")</f>
        <v/>
      </c>
      <c r="O63" s="0" t="str">
        <f aca="false">IF(AND($J63="Плановые",OR(Главная!$F$6="Все",$B63=Главная!$F$6),OR(Главная!$F$7="Все",$C63=Главная!$F$7)),$L63,"")</f>
        <v/>
      </c>
      <c r="P63" s="0" t="str">
        <f aca="false">IF(J63="Выполнено",ROW(),"")</f>
        <v/>
      </c>
    </row>
    <row r="64" customFormat="false" ht="21.75" hidden="false" customHeight="true" outlineLevel="0" collapsed="false">
      <c r="A64" s="31"/>
      <c r="B64" s="31"/>
      <c r="C64" s="32"/>
      <c r="D64" s="32"/>
      <c r="E64" s="33"/>
      <c r="F64" s="33"/>
      <c r="G64" s="32"/>
      <c r="H64" s="32"/>
      <c r="I64" s="31"/>
      <c r="J64" s="34" t="str">
        <f aca="true">IF(TRIM(A64)="","",IF(D64="Выполнено","Выполнено",IF(OR(C64="Срочно",AND(F64&lt;&gt;"",F64&lt;=TODAY())),"Срочные",IF(OR(D64="Отложено",C64="Низкий",AND(F64&lt;&gt;"",F64&gt;TODAY()+Справочники!$H$2)),"Плановые","Текущие"))))</f>
        <v/>
      </c>
      <c r="K64" s="35" t="str">
        <f aca="true">IF(OR(A64="",D64="Выполнено"),"",IF(F64="",IF(AND(G64&lt;&gt;"",G64&lt;&gt;"Разово"),"↻ "&amp;G64,""),IF(F64&lt;TODAY(),"Просрочено на "&amp;(TODAY()-F64)&amp;" дн.",IF(F64=TODAY(),"Сегодня",IF(F64=TODAY()+1,"Завтра","Через "&amp;(F64-TODAY())&amp;" дн.")))))</f>
        <v/>
      </c>
      <c r="L64" s="0" t="str">
        <f aca="true">IF(J64="","",(IF(AND(F64&lt;&gt;"",F64&lt;TODAY()),0,1)*10000000+IFERROR(MATCH(C64,{"Срочно","Высокий","Средний","Низкий"},0),5)*100000+IF(F64="",99999,F64))*1000+ROW())</f>
        <v/>
      </c>
      <c r="M64" s="0" t="str">
        <f aca="false">IF(AND($J64="Срочные",OR(Главная!$F$6="Все",$B64=Главная!$F$6),OR(Главная!$F$7="Все",$C64=Главная!$F$7)),$L64,"")</f>
        <v/>
      </c>
      <c r="N64" s="0" t="str">
        <f aca="false">IF(AND($J64="Текущие",OR(Главная!$F$6="Все",$B64=Главная!$F$6),OR(Главная!$F$7="Все",$C64=Главная!$F$7)),$L64,"")</f>
        <v/>
      </c>
      <c r="O64" s="0" t="str">
        <f aca="false">IF(AND($J64="Плановые",OR(Главная!$F$6="Все",$B64=Главная!$F$6),OR(Главная!$F$7="Все",$C64=Главная!$F$7)),$L64,"")</f>
        <v/>
      </c>
      <c r="P64" s="0" t="str">
        <f aca="false">IF(J64="Выполнено",ROW(),"")</f>
        <v/>
      </c>
    </row>
    <row r="65" customFormat="false" ht="21.75" hidden="false" customHeight="true" outlineLevel="0" collapsed="false">
      <c r="A65" s="31"/>
      <c r="B65" s="31"/>
      <c r="C65" s="32"/>
      <c r="D65" s="32"/>
      <c r="E65" s="33"/>
      <c r="F65" s="33"/>
      <c r="G65" s="32"/>
      <c r="H65" s="32"/>
      <c r="I65" s="31"/>
      <c r="J65" s="34" t="str">
        <f aca="true">IF(TRIM(A65)="","",IF(D65="Выполнено","Выполнено",IF(OR(C65="Срочно",AND(F65&lt;&gt;"",F65&lt;=TODAY())),"Срочные",IF(OR(D65="Отложено",C65="Низкий",AND(F65&lt;&gt;"",F65&gt;TODAY()+Справочники!$H$2)),"Плановые","Текущие"))))</f>
        <v/>
      </c>
      <c r="K65" s="35" t="str">
        <f aca="true">IF(OR(A65="",D65="Выполнено"),"",IF(F65="",IF(AND(G65&lt;&gt;"",G65&lt;&gt;"Разово"),"↻ "&amp;G65,""),IF(F65&lt;TODAY(),"Просрочено на "&amp;(TODAY()-F65)&amp;" дн.",IF(F65=TODAY(),"Сегодня",IF(F65=TODAY()+1,"Завтра","Через "&amp;(F65-TODAY())&amp;" дн.")))))</f>
        <v/>
      </c>
      <c r="L65" s="0" t="str">
        <f aca="true">IF(J65="","",(IF(AND(F65&lt;&gt;"",F65&lt;TODAY()),0,1)*10000000+IFERROR(MATCH(C65,{"Срочно","Высокий","Средний","Низкий"},0),5)*100000+IF(F65="",99999,F65))*1000+ROW())</f>
        <v/>
      </c>
      <c r="M65" s="0" t="str">
        <f aca="false">IF(AND($J65="Срочные",OR(Главная!$F$6="Все",$B65=Главная!$F$6),OR(Главная!$F$7="Все",$C65=Главная!$F$7)),$L65,"")</f>
        <v/>
      </c>
      <c r="N65" s="0" t="str">
        <f aca="false">IF(AND($J65="Текущие",OR(Главная!$F$6="Все",$B65=Главная!$F$6),OR(Главная!$F$7="Все",$C65=Главная!$F$7)),$L65,"")</f>
        <v/>
      </c>
      <c r="O65" s="0" t="str">
        <f aca="false">IF(AND($J65="Плановые",OR(Главная!$F$6="Все",$B65=Главная!$F$6),OR(Главная!$F$7="Все",$C65=Главная!$F$7)),$L65,"")</f>
        <v/>
      </c>
      <c r="P65" s="0" t="str">
        <f aca="false">IF(J65="Выполнено",ROW(),"")</f>
        <v/>
      </c>
    </row>
    <row r="66" customFormat="false" ht="21.75" hidden="false" customHeight="true" outlineLevel="0" collapsed="false">
      <c r="A66" s="31"/>
      <c r="B66" s="31"/>
      <c r="C66" s="32"/>
      <c r="D66" s="32"/>
      <c r="E66" s="33"/>
      <c r="F66" s="33"/>
      <c r="G66" s="32"/>
      <c r="H66" s="32"/>
      <c r="I66" s="31"/>
      <c r="J66" s="34" t="str">
        <f aca="true">IF(TRIM(A66)="","",IF(D66="Выполнено","Выполнено",IF(OR(C66="Срочно",AND(F66&lt;&gt;"",F66&lt;=TODAY())),"Срочные",IF(OR(D66="Отложено",C66="Низкий",AND(F66&lt;&gt;"",F66&gt;TODAY()+Справочники!$H$2)),"Плановые","Текущие"))))</f>
        <v/>
      </c>
      <c r="K66" s="35" t="str">
        <f aca="true">IF(OR(A66="",D66="Выполнено"),"",IF(F66="",IF(AND(G66&lt;&gt;"",G66&lt;&gt;"Разово"),"↻ "&amp;G66,""),IF(F66&lt;TODAY(),"Просрочено на "&amp;(TODAY()-F66)&amp;" дн.",IF(F66=TODAY(),"Сегодня",IF(F66=TODAY()+1,"Завтра","Через "&amp;(F66-TODAY())&amp;" дн.")))))</f>
        <v/>
      </c>
      <c r="L66" s="0" t="str">
        <f aca="true">IF(J66="","",(IF(AND(F66&lt;&gt;"",F66&lt;TODAY()),0,1)*10000000+IFERROR(MATCH(C66,{"Срочно","Высокий","Средний","Низкий"},0),5)*100000+IF(F66="",99999,F66))*1000+ROW())</f>
        <v/>
      </c>
      <c r="M66" s="0" t="str">
        <f aca="false">IF(AND($J66="Срочные",OR(Главная!$F$6="Все",$B66=Главная!$F$6),OR(Главная!$F$7="Все",$C66=Главная!$F$7)),$L66,"")</f>
        <v/>
      </c>
      <c r="N66" s="0" t="str">
        <f aca="false">IF(AND($J66="Текущие",OR(Главная!$F$6="Все",$B66=Главная!$F$6),OR(Главная!$F$7="Все",$C66=Главная!$F$7)),$L66,"")</f>
        <v/>
      </c>
      <c r="O66" s="0" t="str">
        <f aca="false">IF(AND($J66="Плановые",OR(Главная!$F$6="Все",$B66=Главная!$F$6),OR(Главная!$F$7="Все",$C66=Главная!$F$7)),$L66,"")</f>
        <v/>
      </c>
      <c r="P66" s="0" t="str">
        <f aca="false">IF(J66="Выполнено",ROW(),"")</f>
        <v/>
      </c>
    </row>
    <row r="67" customFormat="false" ht="21.75" hidden="false" customHeight="true" outlineLevel="0" collapsed="false">
      <c r="A67" s="31"/>
      <c r="B67" s="31"/>
      <c r="C67" s="32"/>
      <c r="D67" s="32"/>
      <c r="E67" s="33"/>
      <c r="F67" s="33"/>
      <c r="G67" s="32"/>
      <c r="H67" s="32"/>
      <c r="I67" s="31"/>
      <c r="J67" s="34" t="str">
        <f aca="true">IF(TRIM(A67)="","",IF(D67="Выполнено","Выполнено",IF(OR(C67="Срочно",AND(F67&lt;&gt;"",F67&lt;=TODAY())),"Срочные",IF(OR(D67="Отложено",C67="Низкий",AND(F67&lt;&gt;"",F67&gt;TODAY()+Справочники!$H$2)),"Плановые","Текущие"))))</f>
        <v/>
      </c>
      <c r="K67" s="35" t="str">
        <f aca="true">IF(OR(A67="",D67="Выполнено"),"",IF(F67="",IF(AND(G67&lt;&gt;"",G67&lt;&gt;"Разово"),"↻ "&amp;G67,""),IF(F67&lt;TODAY(),"Просрочено на "&amp;(TODAY()-F67)&amp;" дн.",IF(F67=TODAY(),"Сегодня",IF(F67=TODAY()+1,"Завтра","Через "&amp;(F67-TODAY())&amp;" дн.")))))</f>
        <v/>
      </c>
      <c r="L67" s="0" t="str">
        <f aca="true">IF(J67="","",(IF(AND(F67&lt;&gt;"",F67&lt;TODAY()),0,1)*10000000+IFERROR(MATCH(C67,{"Срочно","Высокий","Средний","Низкий"},0),5)*100000+IF(F67="",99999,F67))*1000+ROW())</f>
        <v/>
      </c>
      <c r="M67" s="0" t="str">
        <f aca="false">IF(AND($J67="Срочные",OR(Главная!$F$6="Все",$B67=Главная!$F$6),OR(Главная!$F$7="Все",$C67=Главная!$F$7)),$L67,"")</f>
        <v/>
      </c>
      <c r="N67" s="0" t="str">
        <f aca="false">IF(AND($J67="Текущие",OR(Главная!$F$6="Все",$B67=Главная!$F$6),OR(Главная!$F$7="Все",$C67=Главная!$F$7)),$L67,"")</f>
        <v/>
      </c>
      <c r="O67" s="0" t="str">
        <f aca="false">IF(AND($J67="Плановые",OR(Главная!$F$6="Все",$B67=Главная!$F$6),OR(Главная!$F$7="Все",$C67=Главная!$F$7)),$L67,"")</f>
        <v/>
      </c>
      <c r="P67" s="0" t="str">
        <f aca="false">IF(J67="Выполнено",ROW(),"")</f>
        <v/>
      </c>
    </row>
    <row r="68" customFormat="false" ht="21.75" hidden="false" customHeight="true" outlineLevel="0" collapsed="false">
      <c r="A68" s="31"/>
      <c r="B68" s="31"/>
      <c r="C68" s="32"/>
      <c r="D68" s="32"/>
      <c r="E68" s="33"/>
      <c r="F68" s="33"/>
      <c r="G68" s="32"/>
      <c r="H68" s="32"/>
      <c r="I68" s="31"/>
      <c r="J68" s="34" t="str">
        <f aca="true">IF(TRIM(A68)="","",IF(D68="Выполнено","Выполнено",IF(OR(C68="Срочно",AND(F68&lt;&gt;"",F68&lt;=TODAY())),"Срочные",IF(OR(D68="Отложено",C68="Низкий",AND(F68&lt;&gt;"",F68&gt;TODAY()+Справочники!$H$2)),"Плановые","Текущие"))))</f>
        <v/>
      </c>
      <c r="K68" s="35" t="str">
        <f aca="true">IF(OR(A68="",D68="Выполнено"),"",IF(F68="",IF(AND(G68&lt;&gt;"",G68&lt;&gt;"Разово"),"↻ "&amp;G68,""),IF(F68&lt;TODAY(),"Просрочено на "&amp;(TODAY()-F68)&amp;" дн.",IF(F68=TODAY(),"Сегодня",IF(F68=TODAY()+1,"Завтра","Через "&amp;(F68-TODAY())&amp;" дн.")))))</f>
        <v/>
      </c>
      <c r="L68" s="0" t="str">
        <f aca="true">IF(J68="","",(IF(AND(F68&lt;&gt;"",F68&lt;TODAY()),0,1)*10000000+IFERROR(MATCH(C68,{"Срочно","Высокий","Средний","Низкий"},0),5)*100000+IF(F68="",99999,F68))*1000+ROW())</f>
        <v/>
      </c>
      <c r="M68" s="0" t="str">
        <f aca="false">IF(AND($J68="Срочные",OR(Главная!$F$6="Все",$B68=Главная!$F$6),OR(Главная!$F$7="Все",$C68=Главная!$F$7)),$L68,"")</f>
        <v/>
      </c>
      <c r="N68" s="0" t="str">
        <f aca="false">IF(AND($J68="Текущие",OR(Главная!$F$6="Все",$B68=Главная!$F$6),OR(Главная!$F$7="Все",$C68=Главная!$F$7)),$L68,"")</f>
        <v/>
      </c>
      <c r="O68" s="0" t="str">
        <f aca="false">IF(AND($J68="Плановые",OR(Главная!$F$6="Все",$B68=Главная!$F$6),OR(Главная!$F$7="Все",$C68=Главная!$F$7)),$L68,"")</f>
        <v/>
      </c>
      <c r="P68" s="0" t="str">
        <f aca="false">IF(J68="Выполнено",ROW(),"")</f>
        <v/>
      </c>
    </row>
    <row r="69" customFormat="false" ht="21.75" hidden="false" customHeight="true" outlineLevel="0" collapsed="false">
      <c r="A69" s="31"/>
      <c r="B69" s="31"/>
      <c r="C69" s="32"/>
      <c r="D69" s="32"/>
      <c r="E69" s="33"/>
      <c r="F69" s="33"/>
      <c r="G69" s="32"/>
      <c r="H69" s="32"/>
      <c r="I69" s="31"/>
      <c r="J69" s="34" t="str">
        <f aca="true">IF(TRIM(A69)="","",IF(D69="Выполнено","Выполнено",IF(OR(C69="Срочно",AND(F69&lt;&gt;"",F69&lt;=TODAY())),"Срочные",IF(OR(D69="Отложено",C69="Низкий",AND(F69&lt;&gt;"",F69&gt;TODAY()+Справочники!$H$2)),"Плановые","Текущие"))))</f>
        <v/>
      </c>
      <c r="K69" s="35" t="str">
        <f aca="true">IF(OR(A69="",D69="Выполнено"),"",IF(F69="",IF(AND(G69&lt;&gt;"",G69&lt;&gt;"Разово"),"↻ "&amp;G69,""),IF(F69&lt;TODAY(),"Просрочено на "&amp;(TODAY()-F69)&amp;" дн.",IF(F69=TODAY(),"Сегодня",IF(F69=TODAY()+1,"Завтра","Через "&amp;(F69-TODAY())&amp;" дн.")))))</f>
        <v/>
      </c>
      <c r="L69" s="0" t="str">
        <f aca="true">IF(J69="","",(IF(AND(F69&lt;&gt;"",F69&lt;TODAY()),0,1)*10000000+IFERROR(MATCH(C69,{"Срочно","Высокий","Средний","Низкий"},0),5)*100000+IF(F69="",99999,F69))*1000+ROW())</f>
        <v/>
      </c>
      <c r="M69" s="0" t="str">
        <f aca="false">IF(AND($J69="Срочные",OR(Главная!$F$6="Все",$B69=Главная!$F$6),OR(Главная!$F$7="Все",$C69=Главная!$F$7)),$L69,"")</f>
        <v/>
      </c>
      <c r="N69" s="0" t="str">
        <f aca="false">IF(AND($J69="Текущие",OR(Главная!$F$6="Все",$B69=Главная!$F$6),OR(Главная!$F$7="Все",$C69=Главная!$F$7)),$L69,"")</f>
        <v/>
      </c>
      <c r="O69" s="0" t="str">
        <f aca="false">IF(AND($J69="Плановые",OR(Главная!$F$6="Все",$B69=Главная!$F$6),OR(Главная!$F$7="Все",$C69=Главная!$F$7)),$L69,"")</f>
        <v/>
      </c>
      <c r="P69" s="0" t="str">
        <f aca="false">IF(J69="Выполнено",ROW(),"")</f>
        <v/>
      </c>
    </row>
    <row r="70" customFormat="false" ht="21.75" hidden="false" customHeight="true" outlineLevel="0" collapsed="false">
      <c r="A70" s="31"/>
      <c r="B70" s="31"/>
      <c r="C70" s="32"/>
      <c r="D70" s="32"/>
      <c r="E70" s="33"/>
      <c r="F70" s="33"/>
      <c r="G70" s="32"/>
      <c r="H70" s="32"/>
      <c r="I70" s="31"/>
      <c r="J70" s="34" t="str">
        <f aca="true">IF(TRIM(A70)="","",IF(D70="Выполнено","Выполнено",IF(OR(C70="Срочно",AND(F70&lt;&gt;"",F70&lt;=TODAY())),"Срочные",IF(OR(D70="Отложено",C70="Низкий",AND(F70&lt;&gt;"",F70&gt;TODAY()+Справочники!$H$2)),"Плановые","Текущие"))))</f>
        <v/>
      </c>
      <c r="K70" s="35" t="str">
        <f aca="true">IF(OR(A70="",D70="Выполнено"),"",IF(F70="",IF(AND(G70&lt;&gt;"",G70&lt;&gt;"Разово"),"↻ "&amp;G70,""),IF(F70&lt;TODAY(),"Просрочено на "&amp;(TODAY()-F70)&amp;" дн.",IF(F70=TODAY(),"Сегодня",IF(F70=TODAY()+1,"Завтра","Через "&amp;(F70-TODAY())&amp;" дн.")))))</f>
        <v/>
      </c>
      <c r="L70" s="0" t="str">
        <f aca="true">IF(J70="","",(IF(AND(F70&lt;&gt;"",F70&lt;TODAY()),0,1)*10000000+IFERROR(MATCH(C70,{"Срочно","Высокий","Средний","Низкий"},0),5)*100000+IF(F70="",99999,F70))*1000+ROW())</f>
        <v/>
      </c>
      <c r="M70" s="0" t="str">
        <f aca="false">IF(AND($J70="Срочные",OR(Главная!$F$6="Все",$B70=Главная!$F$6),OR(Главная!$F$7="Все",$C70=Главная!$F$7)),$L70,"")</f>
        <v/>
      </c>
      <c r="N70" s="0" t="str">
        <f aca="false">IF(AND($J70="Текущие",OR(Главная!$F$6="Все",$B70=Главная!$F$6),OR(Главная!$F$7="Все",$C70=Главная!$F$7)),$L70,"")</f>
        <v/>
      </c>
      <c r="O70" s="0" t="str">
        <f aca="false">IF(AND($J70="Плановые",OR(Главная!$F$6="Все",$B70=Главная!$F$6),OR(Главная!$F$7="Все",$C70=Главная!$F$7)),$L70,"")</f>
        <v/>
      </c>
      <c r="P70" s="0" t="str">
        <f aca="false">IF(J70="Выполнено",ROW(),"")</f>
        <v/>
      </c>
    </row>
    <row r="71" customFormat="false" ht="21.75" hidden="false" customHeight="true" outlineLevel="0" collapsed="false">
      <c r="A71" s="31"/>
      <c r="B71" s="31"/>
      <c r="C71" s="32"/>
      <c r="D71" s="32"/>
      <c r="E71" s="33"/>
      <c r="F71" s="33"/>
      <c r="G71" s="32"/>
      <c r="H71" s="32"/>
      <c r="I71" s="31"/>
      <c r="J71" s="34" t="str">
        <f aca="true">IF(TRIM(A71)="","",IF(D71="Выполнено","Выполнено",IF(OR(C71="Срочно",AND(F71&lt;&gt;"",F71&lt;=TODAY())),"Срочные",IF(OR(D71="Отложено",C71="Низкий",AND(F71&lt;&gt;"",F71&gt;TODAY()+Справочники!$H$2)),"Плановые","Текущие"))))</f>
        <v/>
      </c>
      <c r="K71" s="35" t="str">
        <f aca="true">IF(OR(A71="",D71="Выполнено"),"",IF(F71="",IF(AND(G71&lt;&gt;"",G71&lt;&gt;"Разово"),"↻ "&amp;G71,""),IF(F71&lt;TODAY(),"Просрочено на "&amp;(TODAY()-F71)&amp;" дн.",IF(F71=TODAY(),"Сегодня",IF(F71=TODAY()+1,"Завтра","Через "&amp;(F71-TODAY())&amp;" дн.")))))</f>
        <v/>
      </c>
      <c r="L71" s="0" t="str">
        <f aca="true">IF(J71="","",(IF(AND(F71&lt;&gt;"",F71&lt;TODAY()),0,1)*10000000+IFERROR(MATCH(C71,{"Срочно","Высокий","Средний","Низкий"},0),5)*100000+IF(F71="",99999,F71))*1000+ROW())</f>
        <v/>
      </c>
      <c r="M71" s="0" t="str">
        <f aca="false">IF(AND($J71="Срочные",OR(Главная!$F$6="Все",$B71=Главная!$F$6),OR(Главная!$F$7="Все",$C71=Главная!$F$7)),$L71,"")</f>
        <v/>
      </c>
      <c r="N71" s="0" t="str">
        <f aca="false">IF(AND($J71="Текущие",OR(Главная!$F$6="Все",$B71=Главная!$F$6),OR(Главная!$F$7="Все",$C71=Главная!$F$7)),$L71,"")</f>
        <v/>
      </c>
      <c r="O71" s="0" t="str">
        <f aca="false">IF(AND($J71="Плановые",OR(Главная!$F$6="Все",$B71=Главная!$F$6),OR(Главная!$F$7="Все",$C71=Главная!$F$7)),$L71,"")</f>
        <v/>
      </c>
      <c r="P71" s="0" t="str">
        <f aca="false">IF(J71="Выполнено",ROW(),"")</f>
        <v/>
      </c>
    </row>
    <row r="72" customFormat="false" ht="21.75" hidden="false" customHeight="true" outlineLevel="0" collapsed="false">
      <c r="A72" s="31"/>
      <c r="B72" s="31"/>
      <c r="C72" s="32"/>
      <c r="D72" s="32"/>
      <c r="E72" s="33"/>
      <c r="F72" s="33"/>
      <c r="G72" s="32"/>
      <c r="H72" s="32"/>
      <c r="I72" s="31"/>
      <c r="J72" s="34" t="str">
        <f aca="true">IF(TRIM(A72)="","",IF(D72="Выполнено","Выполнено",IF(OR(C72="Срочно",AND(F72&lt;&gt;"",F72&lt;=TODAY())),"Срочные",IF(OR(D72="Отложено",C72="Низкий",AND(F72&lt;&gt;"",F72&gt;TODAY()+Справочники!$H$2)),"Плановые","Текущие"))))</f>
        <v/>
      </c>
      <c r="K72" s="35" t="str">
        <f aca="true">IF(OR(A72="",D72="Выполнено"),"",IF(F72="",IF(AND(G72&lt;&gt;"",G72&lt;&gt;"Разово"),"↻ "&amp;G72,""),IF(F72&lt;TODAY(),"Просрочено на "&amp;(TODAY()-F72)&amp;" дн.",IF(F72=TODAY(),"Сегодня",IF(F72=TODAY()+1,"Завтра","Через "&amp;(F72-TODAY())&amp;" дн.")))))</f>
        <v/>
      </c>
      <c r="L72" s="0" t="str">
        <f aca="true">IF(J72="","",(IF(AND(F72&lt;&gt;"",F72&lt;TODAY()),0,1)*10000000+IFERROR(MATCH(C72,{"Срочно","Высокий","Средний","Низкий"},0),5)*100000+IF(F72="",99999,F72))*1000+ROW())</f>
        <v/>
      </c>
      <c r="M72" s="0" t="str">
        <f aca="false">IF(AND($J72="Срочные",OR(Главная!$F$6="Все",$B72=Главная!$F$6),OR(Главная!$F$7="Все",$C72=Главная!$F$7)),$L72,"")</f>
        <v/>
      </c>
      <c r="N72" s="0" t="str">
        <f aca="false">IF(AND($J72="Текущие",OR(Главная!$F$6="Все",$B72=Главная!$F$6),OR(Главная!$F$7="Все",$C72=Главная!$F$7)),$L72,"")</f>
        <v/>
      </c>
      <c r="O72" s="0" t="str">
        <f aca="false">IF(AND($J72="Плановые",OR(Главная!$F$6="Все",$B72=Главная!$F$6),OR(Главная!$F$7="Все",$C72=Главная!$F$7)),$L72,"")</f>
        <v/>
      </c>
      <c r="P72" s="0" t="str">
        <f aca="false">IF(J72="Выполнено",ROW(),"")</f>
        <v/>
      </c>
    </row>
    <row r="73" customFormat="false" ht="21.75" hidden="false" customHeight="true" outlineLevel="0" collapsed="false">
      <c r="A73" s="31"/>
      <c r="B73" s="31"/>
      <c r="C73" s="32"/>
      <c r="D73" s="32"/>
      <c r="E73" s="33"/>
      <c r="F73" s="33"/>
      <c r="G73" s="32"/>
      <c r="H73" s="32"/>
      <c r="I73" s="31"/>
      <c r="J73" s="34" t="str">
        <f aca="true">IF(TRIM(A73)="","",IF(D73="Выполнено","Выполнено",IF(OR(C73="Срочно",AND(F73&lt;&gt;"",F73&lt;=TODAY())),"Срочные",IF(OR(D73="Отложено",C73="Низкий",AND(F73&lt;&gt;"",F73&gt;TODAY()+Справочники!$H$2)),"Плановые","Текущие"))))</f>
        <v/>
      </c>
      <c r="K73" s="35" t="str">
        <f aca="true">IF(OR(A73="",D73="Выполнено"),"",IF(F73="",IF(AND(G73&lt;&gt;"",G73&lt;&gt;"Разово"),"↻ "&amp;G73,""),IF(F73&lt;TODAY(),"Просрочено на "&amp;(TODAY()-F73)&amp;" дн.",IF(F73=TODAY(),"Сегодня",IF(F73=TODAY()+1,"Завтра","Через "&amp;(F73-TODAY())&amp;" дн.")))))</f>
        <v/>
      </c>
      <c r="L73" s="0" t="str">
        <f aca="true">IF(J73="","",(IF(AND(F73&lt;&gt;"",F73&lt;TODAY()),0,1)*10000000+IFERROR(MATCH(C73,{"Срочно","Высокий","Средний","Низкий"},0),5)*100000+IF(F73="",99999,F73))*1000+ROW())</f>
        <v/>
      </c>
      <c r="M73" s="0" t="str">
        <f aca="false">IF(AND($J73="Срочные",OR(Главная!$F$6="Все",$B73=Главная!$F$6),OR(Главная!$F$7="Все",$C73=Главная!$F$7)),$L73,"")</f>
        <v/>
      </c>
      <c r="N73" s="0" t="str">
        <f aca="false">IF(AND($J73="Текущие",OR(Главная!$F$6="Все",$B73=Главная!$F$6),OR(Главная!$F$7="Все",$C73=Главная!$F$7)),$L73,"")</f>
        <v/>
      </c>
      <c r="O73" s="0" t="str">
        <f aca="false">IF(AND($J73="Плановые",OR(Главная!$F$6="Все",$B73=Главная!$F$6),OR(Главная!$F$7="Все",$C73=Главная!$F$7)),$L73,"")</f>
        <v/>
      </c>
      <c r="P73" s="0" t="str">
        <f aca="false">IF(J73="Выполнено",ROW(),"")</f>
        <v/>
      </c>
    </row>
    <row r="74" customFormat="false" ht="21.75" hidden="false" customHeight="true" outlineLevel="0" collapsed="false">
      <c r="A74" s="31"/>
      <c r="B74" s="31"/>
      <c r="C74" s="32"/>
      <c r="D74" s="32"/>
      <c r="E74" s="33"/>
      <c r="F74" s="33"/>
      <c r="G74" s="32"/>
      <c r="H74" s="32"/>
      <c r="I74" s="31"/>
      <c r="J74" s="34" t="str">
        <f aca="true">IF(TRIM(A74)="","",IF(D74="Выполнено","Выполнено",IF(OR(C74="Срочно",AND(F74&lt;&gt;"",F74&lt;=TODAY())),"Срочные",IF(OR(D74="Отложено",C74="Низкий",AND(F74&lt;&gt;"",F74&gt;TODAY()+Справочники!$H$2)),"Плановые","Текущие"))))</f>
        <v/>
      </c>
      <c r="K74" s="35" t="str">
        <f aca="true">IF(OR(A74="",D74="Выполнено"),"",IF(F74="",IF(AND(G74&lt;&gt;"",G74&lt;&gt;"Разово"),"↻ "&amp;G74,""),IF(F74&lt;TODAY(),"Просрочено на "&amp;(TODAY()-F74)&amp;" дн.",IF(F74=TODAY(),"Сегодня",IF(F74=TODAY()+1,"Завтра","Через "&amp;(F74-TODAY())&amp;" дн.")))))</f>
        <v/>
      </c>
      <c r="L74" s="0" t="str">
        <f aca="true">IF(J74="","",(IF(AND(F74&lt;&gt;"",F74&lt;TODAY()),0,1)*10000000+IFERROR(MATCH(C74,{"Срочно","Высокий","Средний","Низкий"},0),5)*100000+IF(F74="",99999,F74))*1000+ROW())</f>
        <v/>
      </c>
      <c r="M74" s="0" t="str">
        <f aca="false">IF(AND($J74="Срочные",OR(Главная!$F$6="Все",$B74=Главная!$F$6),OR(Главная!$F$7="Все",$C74=Главная!$F$7)),$L74,"")</f>
        <v/>
      </c>
      <c r="N74" s="0" t="str">
        <f aca="false">IF(AND($J74="Текущие",OR(Главная!$F$6="Все",$B74=Главная!$F$6),OR(Главная!$F$7="Все",$C74=Главная!$F$7)),$L74,"")</f>
        <v/>
      </c>
      <c r="O74" s="0" t="str">
        <f aca="false">IF(AND($J74="Плановые",OR(Главная!$F$6="Все",$B74=Главная!$F$6),OR(Главная!$F$7="Все",$C74=Главная!$F$7)),$L74,"")</f>
        <v/>
      </c>
      <c r="P74" s="0" t="str">
        <f aca="false">IF(J74="Выполнено",ROW(),"")</f>
        <v/>
      </c>
    </row>
    <row r="75" customFormat="false" ht="21.75" hidden="false" customHeight="true" outlineLevel="0" collapsed="false">
      <c r="A75" s="31"/>
      <c r="B75" s="31"/>
      <c r="C75" s="32"/>
      <c r="D75" s="32"/>
      <c r="E75" s="33"/>
      <c r="F75" s="33"/>
      <c r="G75" s="32"/>
      <c r="H75" s="32"/>
      <c r="I75" s="31"/>
      <c r="J75" s="34" t="str">
        <f aca="true">IF(TRIM(A75)="","",IF(D75="Выполнено","Выполнено",IF(OR(C75="Срочно",AND(F75&lt;&gt;"",F75&lt;=TODAY())),"Срочные",IF(OR(D75="Отложено",C75="Низкий",AND(F75&lt;&gt;"",F75&gt;TODAY()+Справочники!$H$2)),"Плановые","Текущие"))))</f>
        <v/>
      </c>
      <c r="K75" s="35" t="str">
        <f aca="true">IF(OR(A75="",D75="Выполнено"),"",IF(F75="",IF(AND(G75&lt;&gt;"",G75&lt;&gt;"Разово"),"↻ "&amp;G75,""),IF(F75&lt;TODAY(),"Просрочено на "&amp;(TODAY()-F75)&amp;" дн.",IF(F75=TODAY(),"Сегодня",IF(F75=TODAY()+1,"Завтра","Через "&amp;(F75-TODAY())&amp;" дн.")))))</f>
        <v/>
      </c>
      <c r="L75" s="0" t="str">
        <f aca="true">IF(J75="","",(IF(AND(F75&lt;&gt;"",F75&lt;TODAY()),0,1)*10000000+IFERROR(MATCH(C75,{"Срочно","Высокий","Средний","Низкий"},0),5)*100000+IF(F75="",99999,F75))*1000+ROW())</f>
        <v/>
      </c>
      <c r="M75" s="0" t="str">
        <f aca="false">IF(AND($J75="Срочные",OR(Главная!$F$6="Все",$B75=Главная!$F$6),OR(Главная!$F$7="Все",$C75=Главная!$F$7)),$L75,"")</f>
        <v/>
      </c>
      <c r="N75" s="0" t="str">
        <f aca="false">IF(AND($J75="Текущие",OR(Главная!$F$6="Все",$B75=Главная!$F$6),OR(Главная!$F$7="Все",$C75=Главная!$F$7)),$L75,"")</f>
        <v/>
      </c>
      <c r="O75" s="0" t="str">
        <f aca="false">IF(AND($J75="Плановые",OR(Главная!$F$6="Все",$B75=Главная!$F$6),OR(Главная!$F$7="Все",$C75=Главная!$F$7)),$L75,"")</f>
        <v/>
      </c>
      <c r="P75" s="0" t="str">
        <f aca="false">IF(J75="Выполнено",ROW(),"")</f>
        <v/>
      </c>
    </row>
    <row r="76" customFormat="false" ht="21.75" hidden="false" customHeight="true" outlineLevel="0" collapsed="false">
      <c r="A76" s="31"/>
      <c r="B76" s="31"/>
      <c r="C76" s="32"/>
      <c r="D76" s="32"/>
      <c r="E76" s="33"/>
      <c r="F76" s="33"/>
      <c r="G76" s="32"/>
      <c r="H76" s="32"/>
      <c r="I76" s="31"/>
      <c r="J76" s="34" t="str">
        <f aca="true">IF(TRIM(A76)="","",IF(D76="Выполнено","Выполнено",IF(OR(C76="Срочно",AND(F76&lt;&gt;"",F76&lt;=TODAY())),"Срочные",IF(OR(D76="Отложено",C76="Низкий",AND(F76&lt;&gt;"",F76&gt;TODAY()+Справочники!$H$2)),"Плановые","Текущие"))))</f>
        <v/>
      </c>
      <c r="K76" s="35" t="str">
        <f aca="true">IF(OR(A76="",D76="Выполнено"),"",IF(F76="",IF(AND(G76&lt;&gt;"",G76&lt;&gt;"Разово"),"↻ "&amp;G76,""),IF(F76&lt;TODAY(),"Просрочено на "&amp;(TODAY()-F76)&amp;" дн.",IF(F76=TODAY(),"Сегодня",IF(F76=TODAY()+1,"Завтра","Через "&amp;(F76-TODAY())&amp;" дн.")))))</f>
        <v/>
      </c>
      <c r="L76" s="0" t="str">
        <f aca="true">IF(J76="","",(IF(AND(F76&lt;&gt;"",F76&lt;TODAY()),0,1)*10000000+IFERROR(MATCH(C76,{"Срочно","Высокий","Средний","Низкий"},0),5)*100000+IF(F76="",99999,F76))*1000+ROW())</f>
        <v/>
      </c>
      <c r="M76" s="0" t="str">
        <f aca="false">IF(AND($J76="Срочные",OR(Главная!$F$6="Все",$B76=Главная!$F$6),OR(Главная!$F$7="Все",$C76=Главная!$F$7)),$L76,"")</f>
        <v/>
      </c>
      <c r="N76" s="0" t="str">
        <f aca="false">IF(AND($J76="Текущие",OR(Главная!$F$6="Все",$B76=Главная!$F$6),OR(Главная!$F$7="Все",$C76=Главная!$F$7)),$L76,"")</f>
        <v/>
      </c>
      <c r="O76" s="0" t="str">
        <f aca="false">IF(AND($J76="Плановые",OR(Главная!$F$6="Все",$B76=Главная!$F$6),OR(Главная!$F$7="Все",$C76=Главная!$F$7)),$L76,"")</f>
        <v/>
      </c>
      <c r="P76" s="0" t="str">
        <f aca="false">IF(J76="Выполнено",ROW(),"")</f>
        <v/>
      </c>
    </row>
    <row r="77" customFormat="false" ht="21.75" hidden="false" customHeight="true" outlineLevel="0" collapsed="false">
      <c r="A77" s="31"/>
      <c r="B77" s="31"/>
      <c r="C77" s="32"/>
      <c r="D77" s="32"/>
      <c r="E77" s="33"/>
      <c r="F77" s="33"/>
      <c r="G77" s="32"/>
      <c r="H77" s="32"/>
      <c r="I77" s="31"/>
      <c r="J77" s="34" t="str">
        <f aca="true">IF(TRIM(A77)="","",IF(D77="Выполнено","Выполнено",IF(OR(C77="Срочно",AND(F77&lt;&gt;"",F77&lt;=TODAY())),"Срочные",IF(OR(D77="Отложено",C77="Низкий",AND(F77&lt;&gt;"",F77&gt;TODAY()+Справочники!$H$2)),"Плановые","Текущие"))))</f>
        <v/>
      </c>
      <c r="K77" s="35" t="str">
        <f aca="true">IF(OR(A77="",D77="Выполнено"),"",IF(F77="",IF(AND(G77&lt;&gt;"",G77&lt;&gt;"Разово"),"↻ "&amp;G77,""),IF(F77&lt;TODAY(),"Просрочено на "&amp;(TODAY()-F77)&amp;" дн.",IF(F77=TODAY(),"Сегодня",IF(F77=TODAY()+1,"Завтра","Через "&amp;(F77-TODAY())&amp;" дн.")))))</f>
        <v/>
      </c>
      <c r="L77" s="0" t="str">
        <f aca="true">IF(J77="","",(IF(AND(F77&lt;&gt;"",F77&lt;TODAY()),0,1)*10000000+IFERROR(MATCH(C77,{"Срочно","Высокий","Средний","Низкий"},0),5)*100000+IF(F77="",99999,F77))*1000+ROW())</f>
        <v/>
      </c>
      <c r="M77" s="0" t="str">
        <f aca="false">IF(AND($J77="Срочные",OR(Главная!$F$6="Все",$B77=Главная!$F$6),OR(Главная!$F$7="Все",$C77=Главная!$F$7)),$L77,"")</f>
        <v/>
      </c>
      <c r="N77" s="0" t="str">
        <f aca="false">IF(AND($J77="Текущие",OR(Главная!$F$6="Все",$B77=Главная!$F$6),OR(Главная!$F$7="Все",$C77=Главная!$F$7)),$L77,"")</f>
        <v/>
      </c>
      <c r="O77" s="0" t="str">
        <f aca="false">IF(AND($J77="Плановые",OR(Главная!$F$6="Все",$B77=Главная!$F$6),OR(Главная!$F$7="Все",$C77=Главная!$F$7)),$L77,"")</f>
        <v/>
      </c>
      <c r="P77" s="0" t="str">
        <f aca="false">IF(J77="Выполнено",ROW(),"")</f>
        <v/>
      </c>
    </row>
    <row r="78" customFormat="false" ht="21.75" hidden="false" customHeight="true" outlineLevel="0" collapsed="false">
      <c r="A78" s="31"/>
      <c r="B78" s="31"/>
      <c r="C78" s="32"/>
      <c r="D78" s="32"/>
      <c r="E78" s="33"/>
      <c r="F78" s="33"/>
      <c r="G78" s="32"/>
      <c r="H78" s="32"/>
      <c r="I78" s="31"/>
      <c r="J78" s="34" t="str">
        <f aca="true">IF(TRIM(A78)="","",IF(D78="Выполнено","Выполнено",IF(OR(C78="Срочно",AND(F78&lt;&gt;"",F78&lt;=TODAY())),"Срочные",IF(OR(D78="Отложено",C78="Низкий",AND(F78&lt;&gt;"",F78&gt;TODAY()+Справочники!$H$2)),"Плановые","Текущие"))))</f>
        <v/>
      </c>
      <c r="K78" s="35" t="str">
        <f aca="true">IF(OR(A78="",D78="Выполнено"),"",IF(F78="",IF(AND(G78&lt;&gt;"",G78&lt;&gt;"Разово"),"↻ "&amp;G78,""),IF(F78&lt;TODAY(),"Просрочено на "&amp;(TODAY()-F78)&amp;" дн.",IF(F78=TODAY(),"Сегодня",IF(F78=TODAY()+1,"Завтра","Через "&amp;(F78-TODAY())&amp;" дн.")))))</f>
        <v/>
      </c>
      <c r="L78" s="0" t="str">
        <f aca="true">IF(J78="","",(IF(AND(F78&lt;&gt;"",F78&lt;TODAY()),0,1)*10000000+IFERROR(MATCH(C78,{"Срочно","Высокий","Средний","Низкий"},0),5)*100000+IF(F78="",99999,F78))*1000+ROW())</f>
        <v/>
      </c>
      <c r="M78" s="0" t="str">
        <f aca="false">IF(AND($J78="Срочные",OR(Главная!$F$6="Все",$B78=Главная!$F$6),OR(Главная!$F$7="Все",$C78=Главная!$F$7)),$L78,"")</f>
        <v/>
      </c>
      <c r="N78" s="0" t="str">
        <f aca="false">IF(AND($J78="Текущие",OR(Главная!$F$6="Все",$B78=Главная!$F$6),OR(Главная!$F$7="Все",$C78=Главная!$F$7)),$L78,"")</f>
        <v/>
      </c>
      <c r="O78" s="0" t="str">
        <f aca="false">IF(AND($J78="Плановые",OR(Главная!$F$6="Все",$B78=Главная!$F$6),OR(Главная!$F$7="Все",$C78=Главная!$F$7)),$L78,"")</f>
        <v/>
      </c>
      <c r="P78" s="0" t="str">
        <f aca="false">IF(J78="Выполнено",ROW(),"")</f>
        <v/>
      </c>
    </row>
    <row r="79" customFormat="false" ht="21.75" hidden="false" customHeight="true" outlineLevel="0" collapsed="false">
      <c r="A79" s="31"/>
      <c r="B79" s="31"/>
      <c r="C79" s="32"/>
      <c r="D79" s="32"/>
      <c r="E79" s="33"/>
      <c r="F79" s="33"/>
      <c r="G79" s="32"/>
      <c r="H79" s="32"/>
      <c r="I79" s="31"/>
      <c r="J79" s="34" t="str">
        <f aca="true">IF(TRIM(A79)="","",IF(D79="Выполнено","Выполнено",IF(OR(C79="Срочно",AND(F79&lt;&gt;"",F79&lt;=TODAY())),"Срочные",IF(OR(D79="Отложено",C79="Низкий",AND(F79&lt;&gt;"",F79&gt;TODAY()+Справочники!$H$2)),"Плановые","Текущие"))))</f>
        <v/>
      </c>
      <c r="K79" s="35" t="str">
        <f aca="true">IF(OR(A79="",D79="Выполнено"),"",IF(F79="",IF(AND(G79&lt;&gt;"",G79&lt;&gt;"Разово"),"↻ "&amp;G79,""),IF(F79&lt;TODAY(),"Просрочено на "&amp;(TODAY()-F79)&amp;" дн.",IF(F79=TODAY(),"Сегодня",IF(F79=TODAY()+1,"Завтра","Через "&amp;(F79-TODAY())&amp;" дн.")))))</f>
        <v/>
      </c>
      <c r="L79" s="0" t="str">
        <f aca="true">IF(J79="","",(IF(AND(F79&lt;&gt;"",F79&lt;TODAY()),0,1)*10000000+IFERROR(MATCH(C79,{"Срочно","Высокий","Средний","Низкий"},0),5)*100000+IF(F79="",99999,F79))*1000+ROW())</f>
        <v/>
      </c>
      <c r="M79" s="0" t="str">
        <f aca="false">IF(AND($J79="Срочные",OR(Главная!$F$6="Все",$B79=Главная!$F$6),OR(Главная!$F$7="Все",$C79=Главная!$F$7)),$L79,"")</f>
        <v/>
      </c>
      <c r="N79" s="0" t="str">
        <f aca="false">IF(AND($J79="Текущие",OR(Главная!$F$6="Все",$B79=Главная!$F$6),OR(Главная!$F$7="Все",$C79=Главная!$F$7)),$L79,"")</f>
        <v/>
      </c>
      <c r="O79" s="0" t="str">
        <f aca="false">IF(AND($J79="Плановые",OR(Главная!$F$6="Все",$B79=Главная!$F$6),OR(Главная!$F$7="Все",$C79=Главная!$F$7)),$L79,"")</f>
        <v/>
      </c>
      <c r="P79" s="0" t="str">
        <f aca="false">IF(J79="Выполнено",ROW(),"")</f>
        <v/>
      </c>
    </row>
    <row r="80" customFormat="false" ht="21.75" hidden="false" customHeight="true" outlineLevel="0" collapsed="false">
      <c r="A80" s="31"/>
      <c r="B80" s="31"/>
      <c r="C80" s="32"/>
      <c r="D80" s="32"/>
      <c r="E80" s="33"/>
      <c r="F80" s="33"/>
      <c r="G80" s="32"/>
      <c r="H80" s="32"/>
      <c r="I80" s="31"/>
      <c r="J80" s="34" t="str">
        <f aca="true">IF(TRIM(A80)="","",IF(D80="Выполнено","Выполнено",IF(OR(C80="Срочно",AND(F80&lt;&gt;"",F80&lt;=TODAY())),"Срочные",IF(OR(D80="Отложено",C80="Низкий",AND(F80&lt;&gt;"",F80&gt;TODAY()+Справочники!$H$2)),"Плановые","Текущие"))))</f>
        <v/>
      </c>
      <c r="K80" s="35" t="str">
        <f aca="true">IF(OR(A80="",D80="Выполнено"),"",IF(F80="",IF(AND(G80&lt;&gt;"",G80&lt;&gt;"Разово"),"↻ "&amp;G80,""),IF(F80&lt;TODAY(),"Просрочено на "&amp;(TODAY()-F80)&amp;" дн.",IF(F80=TODAY(),"Сегодня",IF(F80=TODAY()+1,"Завтра","Через "&amp;(F80-TODAY())&amp;" дн.")))))</f>
        <v/>
      </c>
      <c r="L80" s="0" t="str">
        <f aca="true">IF(J80="","",(IF(AND(F80&lt;&gt;"",F80&lt;TODAY()),0,1)*10000000+IFERROR(MATCH(C80,{"Срочно","Высокий","Средний","Низкий"},0),5)*100000+IF(F80="",99999,F80))*1000+ROW())</f>
        <v/>
      </c>
      <c r="M80" s="0" t="str">
        <f aca="false">IF(AND($J80="Срочные",OR(Главная!$F$6="Все",$B80=Главная!$F$6),OR(Главная!$F$7="Все",$C80=Главная!$F$7)),$L80,"")</f>
        <v/>
      </c>
      <c r="N80" s="0" t="str">
        <f aca="false">IF(AND($J80="Текущие",OR(Главная!$F$6="Все",$B80=Главная!$F$6),OR(Главная!$F$7="Все",$C80=Главная!$F$7)),$L80,"")</f>
        <v/>
      </c>
      <c r="O80" s="0" t="str">
        <f aca="false">IF(AND($J80="Плановые",OR(Главная!$F$6="Все",$B80=Главная!$F$6),OR(Главная!$F$7="Все",$C80=Главная!$F$7)),$L80,"")</f>
        <v/>
      </c>
      <c r="P80" s="0" t="str">
        <f aca="false">IF(J80="Выполнено",ROW(),"")</f>
        <v/>
      </c>
    </row>
    <row r="81" customFormat="false" ht="21.75" hidden="false" customHeight="true" outlineLevel="0" collapsed="false">
      <c r="A81" s="31"/>
      <c r="B81" s="31"/>
      <c r="C81" s="32"/>
      <c r="D81" s="32"/>
      <c r="E81" s="33"/>
      <c r="F81" s="33"/>
      <c r="G81" s="32"/>
      <c r="H81" s="32"/>
      <c r="I81" s="31"/>
      <c r="J81" s="34" t="str">
        <f aca="true">IF(TRIM(A81)="","",IF(D81="Выполнено","Выполнено",IF(OR(C81="Срочно",AND(F81&lt;&gt;"",F81&lt;=TODAY())),"Срочные",IF(OR(D81="Отложено",C81="Низкий",AND(F81&lt;&gt;"",F81&gt;TODAY()+Справочники!$H$2)),"Плановые","Текущие"))))</f>
        <v/>
      </c>
      <c r="K81" s="35" t="str">
        <f aca="true">IF(OR(A81="",D81="Выполнено"),"",IF(F81="",IF(AND(G81&lt;&gt;"",G81&lt;&gt;"Разово"),"↻ "&amp;G81,""),IF(F81&lt;TODAY(),"Просрочено на "&amp;(TODAY()-F81)&amp;" дн.",IF(F81=TODAY(),"Сегодня",IF(F81=TODAY()+1,"Завтра","Через "&amp;(F81-TODAY())&amp;" дн.")))))</f>
        <v/>
      </c>
      <c r="L81" s="0" t="str">
        <f aca="true">IF(J81="","",(IF(AND(F81&lt;&gt;"",F81&lt;TODAY()),0,1)*10000000+IFERROR(MATCH(C81,{"Срочно","Высокий","Средний","Низкий"},0),5)*100000+IF(F81="",99999,F81))*1000+ROW())</f>
        <v/>
      </c>
      <c r="M81" s="0" t="str">
        <f aca="false">IF(AND($J81="Срочные",OR(Главная!$F$6="Все",$B81=Главная!$F$6),OR(Главная!$F$7="Все",$C81=Главная!$F$7)),$L81,"")</f>
        <v/>
      </c>
      <c r="N81" s="0" t="str">
        <f aca="false">IF(AND($J81="Текущие",OR(Главная!$F$6="Все",$B81=Главная!$F$6),OR(Главная!$F$7="Все",$C81=Главная!$F$7)),$L81,"")</f>
        <v/>
      </c>
      <c r="O81" s="0" t="str">
        <f aca="false">IF(AND($J81="Плановые",OR(Главная!$F$6="Все",$B81=Главная!$F$6),OR(Главная!$F$7="Все",$C81=Главная!$F$7)),$L81,"")</f>
        <v/>
      </c>
      <c r="P81" s="0" t="str">
        <f aca="false">IF(J81="Выполнено",ROW(),"")</f>
        <v/>
      </c>
    </row>
    <row r="82" customFormat="false" ht="21.75" hidden="false" customHeight="true" outlineLevel="0" collapsed="false">
      <c r="A82" s="31"/>
      <c r="B82" s="31"/>
      <c r="C82" s="32"/>
      <c r="D82" s="32"/>
      <c r="E82" s="33"/>
      <c r="F82" s="33"/>
      <c r="G82" s="32"/>
      <c r="H82" s="32"/>
      <c r="I82" s="31"/>
      <c r="J82" s="34" t="str">
        <f aca="true">IF(TRIM(A82)="","",IF(D82="Выполнено","Выполнено",IF(OR(C82="Срочно",AND(F82&lt;&gt;"",F82&lt;=TODAY())),"Срочные",IF(OR(D82="Отложено",C82="Низкий",AND(F82&lt;&gt;"",F82&gt;TODAY()+Справочники!$H$2)),"Плановые","Текущие"))))</f>
        <v/>
      </c>
      <c r="K82" s="35" t="str">
        <f aca="true">IF(OR(A82="",D82="Выполнено"),"",IF(F82="",IF(AND(G82&lt;&gt;"",G82&lt;&gt;"Разово"),"↻ "&amp;G82,""),IF(F82&lt;TODAY(),"Просрочено на "&amp;(TODAY()-F82)&amp;" дн.",IF(F82=TODAY(),"Сегодня",IF(F82=TODAY()+1,"Завтра","Через "&amp;(F82-TODAY())&amp;" дн.")))))</f>
        <v/>
      </c>
      <c r="L82" s="0" t="str">
        <f aca="true">IF(J82="","",(IF(AND(F82&lt;&gt;"",F82&lt;TODAY()),0,1)*10000000+IFERROR(MATCH(C82,{"Срочно","Высокий","Средний","Низкий"},0),5)*100000+IF(F82="",99999,F82))*1000+ROW())</f>
        <v/>
      </c>
      <c r="M82" s="0" t="str">
        <f aca="false">IF(AND($J82="Срочные",OR(Главная!$F$6="Все",$B82=Главная!$F$6),OR(Главная!$F$7="Все",$C82=Главная!$F$7)),$L82,"")</f>
        <v/>
      </c>
      <c r="N82" s="0" t="str">
        <f aca="false">IF(AND($J82="Текущие",OR(Главная!$F$6="Все",$B82=Главная!$F$6),OR(Главная!$F$7="Все",$C82=Главная!$F$7)),$L82,"")</f>
        <v/>
      </c>
      <c r="O82" s="0" t="str">
        <f aca="false">IF(AND($J82="Плановые",OR(Главная!$F$6="Все",$B82=Главная!$F$6),OR(Главная!$F$7="Все",$C82=Главная!$F$7)),$L82,"")</f>
        <v/>
      </c>
      <c r="P82" s="0" t="str">
        <f aca="false">IF(J82="Выполнено",ROW(),"")</f>
        <v/>
      </c>
    </row>
    <row r="83" customFormat="false" ht="21.75" hidden="false" customHeight="true" outlineLevel="0" collapsed="false">
      <c r="A83" s="31"/>
      <c r="B83" s="31"/>
      <c r="C83" s="32"/>
      <c r="D83" s="32"/>
      <c r="E83" s="33"/>
      <c r="F83" s="33"/>
      <c r="G83" s="32"/>
      <c r="H83" s="32"/>
      <c r="I83" s="31"/>
      <c r="J83" s="34" t="str">
        <f aca="true">IF(TRIM(A83)="","",IF(D83="Выполнено","Выполнено",IF(OR(C83="Срочно",AND(F83&lt;&gt;"",F83&lt;=TODAY())),"Срочные",IF(OR(D83="Отложено",C83="Низкий",AND(F83&lt;&gt;"",F83&gt;TODAY()+Справочники!$H$2)),"Плановые","Текущие"))))</f>
        <v/>
      </c>
      <c r="K83" s="35" t="str">
        <f aca="true">IF(OR(A83="",D83="Выполнено"),"",IF(F83="",IF(AND(G83&lt;&gt;"",G83&lt;&gt;"Разово"),"↻ "&amp;G83,""),IF(F83&lt;TODAY(),"Просрочено на "&amp;(TODAY()-F83)&amp;" дн.",IF(F83=TODAY(),"Сегодня",IF(F83=TODAY()+1,"Завтра","Через "&amp;(F83-TODAY())&amp;" дн.")))))</f>
        <v/>
      </c>
      <c r="L83" s="0" t="str">
        <f aca="true">IF(J83="","",(IF(AND(F83&lt;&gt;"",F83&lt;TODAY()),0,1)*10000000+IFERROR(MATCH(C83,{"Срочно","Высокий","Средний","Низкий"},0),5)*100000+IF(F83="",99999,F83))*1000+ROW())</f>
        <v/>
      </c>
      <c r="M83" s="0" t="str">
        <f aca="false">IF(AND($J83="Срочные",OR(Главная!$F$6="Все",$B83=Главная!$F$6),OR(Главная!$F$7="Все",$C83=Главная!$F$7)),$L83,"")</f>
        <v/>
      </c>
      <c r="N83" s="0" t="str">
        <f aca="false">IF(AND($J83="Текущие",OR(Главная!$F$6="Все",$B83=Главная!$F$6),OR(Главная!$F$7="Все",$C83=Главная!$F$7)),$L83,"")</f>
        <v/>
      </c>
      <c r="O83" s="0" t="str">
        <f aca="false">IF(AND($J83="Плановые",OR(Главная!$F$6="Все",$B83=Главная!$F$6),OR(Главная!$F$7="Все",$C83=Главная!$F$7)),$L83,"")</f>
        <v/>
      </c>
      <c r="P83" s="0" t="str">
        <f aca="false">IF(J83="Выполнено",ROW(),"")</f>
        <v/>
      </c>
    </row>
    <row r="84" customFormat="false" ht="21.75" hidden="false" customHeight="true" outlineLevel="0" collapsed="false">
      <c r="A84" s="31"/>
      <c r="B84" s="31"/>
      <c r="C84" s="32"/>
      <c r="D84" s="32"/>
      <c r="E84" s="33"/>
      <c r="F84" s="33"/>
      <c r="G84" s="32"/>
      <c r="H84" s="32"/>
      <c r="I84" s="31"/>
      <c r="J84" s="34" t="str">
        <f aca="true">IF(TRIM(A84)="","",IF(D84="Выполнено","Выполнено",IF(OR(C84="Срочно",AND(F84&lt;&gt;"",F84&lt;=TODAY())),"Срочные",IF(OR(D84="Отложено",C84="Низкий",AND(F84&lt;&gt;"",F84&gt;TODAY()+Справочники!$H$2)),"Плановые","Текущие"))))</f>
        <v/>
      </c>
      <c r="K84" s="35" t="str">
        <f aca="true">IF(OR(A84="",D84="Выполнено"),"",IF(F84="",IF(AND(G84&lt;&gt;"",G84&lt;&gt;"Разово"),"↻ "&amp;G84,""),IF(F84&lt;TODAY(),"Просрочено на "&amp;(TODAY()-F84)&amp;" дн.",IF(F84=TODAY(),"Сегодня",IF(F84=TODAY()+1,"Завтра","Через "&amp;(F84-TODAY())&amp;" дн.")))))</f>
        <v/>
      </c>
      <c r="L84" s="0" t="str">
        <f aca="true">IF(J84="","",(IF(AND(F84&lt;&gt;"",F84&lt;TODAY()),0,1)*10000000+IFERROR(MATCH(C84,{"Срочно","Высокий","Средний","Низкий"},0),5)*100000+IF(F84="",99999,F84))*1000+ROW())</f>
        <v/>
      </c>
      <c r="M84" s="0" t="str">
        <f aca="false">IF(AND($J84="Срочные",OR(Главная!$F$6="Все",$B84=Главная!$F$6),OR(Главная!$F$7="Все",$C84=Главная!$F$7)),$L84,"")</f>
        <v/>
      </c>
      <c r="N84" s="0" t="str">
        <f aca="false">IF(AND($J84="Текущие",OR(Главная!$F$6="Все",$B84=Главная!$F$6),OR(Главная!$F$7="Все",$C84=Главная!$F$7)),$L84,"")</f>
        <v/>
      </c>
      <c r="O84" s="0" t="str">
        <f aca="false">IF(AND($J84="Плановые",OR(Главная!$F$6="Все",$B84=Главная!$F$6),OR(Главная!$F$7="Все",$C84=Главная!$F$7)),$L84,"")</f>
        <v/>
      </c>
      <c r="P84" s="0" t="str">
        <f aca="false">IF(J84="Выполнено",ROW(),"")</f>
        <v/>
      </c>
    </row>
    <row r="85" customFormat="false" ht="21.75" hidden="false" customHeight="true" outlineLevel="0" collapsed="false">
      <c r="A85" s="31"/>
      <c r="B85" s="31"/>
      <c r="C85" s="32"/>
      <c r="D85" s="32"/>
      <c r="E85" s="33"/>
      <c r="F85" s="33"/>
      <c r="G85" s="32"/>
      <c r="H85" s="32"/>
      <c r="I85" s="31"/>
      <c r="J85" s="34" t="str">
        <f aca="true">IF(TRIM(A85)="","",IF(D85="Выполнено","Выполнено",IF(OR(C85="Срочно",AND(F85&lt;&gt;"",F85&lt;=TODAY())),"Срочные",IF(OR(D85="Отложено",C85="Низкий",AND(F85&lt;&gt;"",F85&gt;TODAY()+Справочники!$H$2)),"Плановые","Текущие"))))</f>
        <v/>
      </c>
      <c r="K85" s="35" t="str">
        <f aca="true">IF(OR(A85="",D85="Выполнено"),"",IF(F85="",IF(AND(G85&lt;&gt;"",G85&lt;&gt;"Разово"),"↻ "&amp;G85,""),IF(F85&lt;TODAY(),"Просрочено на "&amp;(TODAY()-F85)&amp;" дн.",IF(F85=TODAY(),"Сегодня",IF(F85=TODAY()+1,"Завтра","Через "&amp;(F85-TODAY())&amp;" дн.")))))</f>
        <v/>
      </c>
      <c r="L85" s="0" t="str">
        <f aca="true">IF(J85="","",(IF(AND(F85&lt;&gt;"",F85&lt;TODAY()),0,1)*10000000+IFERROR(MATCH(C85,{"Срочно","Высокий","Средний","Низкий"},0),5)*100000+IF(F85="",99999,F85))*1000+ROW())</f>
        <v/>
      </c>
      <c r="M85" s="0" t="str">
        <f aca="false">IF(AND($J85="Срочные",OR(Главная!$F$6="Все",$B85=Главная!$F$6),OR(Главная!$F$7="Все",$C85=Главная!$F$7)),$L85,"")</f>
        <v/>
      </c>
      <c r="N85" s="0" t="str">
        <f aca="false">IF(AND($J85="Текущие",OR(Главная!$F$6="Все",$B85=Главная!$F$6),OR(Главная!$F$7="Все",$C85=Главная!$F$7)),$L85,"")</f>
        <v/>
      </c>
      <c r="O85" s="0" t="str">
        <f aca="false">IF(AND($J85="Плановые",OR(Главная!$F$6="Все",$B85=Главная!$F$6),OR(Главная!$F$7="Все",$C85=Главная!$F$7)),$L85,"")</f>
        <v/>
      </c>
      <c r="P85" s="0" t="str">
        <f aca="false">IF(J85="Выполнено",ROW(),"")</f>
        <v/>
      </c>
    </row>
    <row r="86" customFormat="false" ht="21.75" hidden="false" customHeight="true" outlineLevel="0" collapsed="false">
      <c r="A86" s="31"/>
      <c r="B86" s="31"/>
      <c r="C86" s="32"/>
      <c r="D86" s="32"/>
      <c r="E86" s="33"/>
      <c r="F86" s="33"/>
      <c r="G86" s="32"/>
      <c r="H86" s="32"/>
      <c r="I86" s="31"/>
      <c r="J86" s="34" t="str">
        <f aca="true">IF(TRIM(A86)="","",IF(D86="Выполнено","Выполнено",IF(OR(C86="Срочно",AND(F86&lt;&gt;"",F86&lt;=TODAY())),"Срочные",IF(OR(D86="Отложено",C86="Низкий",AND(F86&lt;&gt;"",F86&gt;TODAY()+Справочники!$H$2)),"Плановые","Текущие"))))</f>
        <v/>
      </c>
      <c r="K86" s="35" t="str">
        <f aca="true">IF(OR(A86="",D86="Выполнено"),"",IF(F86="",IF(AND(G86&lt;&gt;"",G86&lt;&gt;"Разово"),"↻ "&amp;G86,""),IF(F86&lt;TODAY(),"Просрочено на "&amp;(TODAY()-F86)&amp;" дн.",IF(F86=TODAY(),"Сегодня",IF(F86=TODAY()+1,"Завтра","Через "&amp;(F86-TODAY())&amp;" дн.")))))</f>
        <v/>
      </c>
      <c r="L86" s="0" t="str">
        <f aca="true">IF(J86="","",(IF(AND(F86&lt;&gt;"",F86&lt;TODAY()),0,1)*10000000+IFERROR(MATCH(C86,{"Срочно","Высокий","Средний","Низкий"},0),5)*100000+IF(F86="",99999,F86))*1000+ROW())</f>
        <v/>
      </c>
      <c r="M86" s="0" t="str">
        <f aca="false">IF(AND($J86="Срочные",OR(Главная!$F$6="Все",$B86=Главная!$F$6),OR(Главная!$F$7="Все",$C86=Главная!$F$7)),$L86,"")</f>
        <v/>
      </c>
      <c r="N86" s="0" t="str">
        <f aca="false">IF(AND($J86="Текущие",OR(Главная!$F$6="Все",$B86=Главная!$F$6),OR(Главная!$F$7="Все",$C86=Главная!$F$7)),$L86,"")</f>
        <v/>
      </c>
      <c r="O86" s="0" t="str">
        <f aca="false">IF(AND($J86="Плановые",OR(Главная!$F$6="Все",$B86=Главная!$F$6),OR(Главная!$F$7="Все",$C86=Главная!$F$7)),$L86,"")</f>
        <v/>
      </c>
      <c r="P86" s="0" t="str">
        <f aca="false">IF(J86="Выполнено",ROW(),"")</f>
        <v/>
      </c>
    </row>
    <row r="87" customFormat="false" ht="21.75" hidden="false" customHeight="true" outlineLevel="0" collapsed="false">
      <c r="A87" s="31"/>
      <c r="B87" s="31"/>
      <c r="C87" s="32"/>
      <c r="D87" s="32"/>
      <c r="E87" s="33"/>
      <c r="F87" s="33"/>
      <c r="G87" s="32"/>
      <c r="H87" s="32"/>
      <c r="I87" s="31"/>
      <c r="J87" s="34" t="str">
        <f aca="true">IF(TRIM(A87)="","",IF(D87="Выполнено","Выполнено",IF(OR(C87="Срочно",AND(F87&lt;&gt;"",F87&lt;=TODAY())),"Срочные",IF(OR(D87="Отложено",C87="Низкий",AND(F87&lt;&gt;"",F87&gt;TODAY()+Справочники!$H$2)),"Плановые","Текущие"))))</f>
        <v/>
      </c>
      <c r="K87" s="35" t="str">
        <f aca="true">IF(OR(A87="",D87="Выполнено"),"",IF(F87="",IF(AND(G87&lt;&gt;"",G87&lt;&gt;"Разово"),"↻ "&amp;G87,""),IF(F87&lt;TODAY(),"Просрочено на "&amp;(TODAY()-F87)&amp;" дн.",IF(F87=TODAY(),"Сегодня",IF(F87=TODAY()+1,"Завтра","Через "&amp;(F87-TODAY())&amp;" дн.")))))</f>
        <v/>
      </c>
      <c r="L87" s="0" t="str">
        <f aca="true">IF(J87="","",(IF(AND(F87&lt;&gt;"",F87&lt;TODAY()),0,1)*10000000+IFERROR(MATCH(C87,{"Срочно","Высокий","Средний","Низкий"},0),5)*100000+IF(F87="",99999,F87))*1000+ROW())</f>
        <v/>
      </c>
      <c r="M87" s="0" t="str">
        <f aca="false">IF(AND($J87="Срочные",OR(Главная!$F$6="Все",$B87=Главная!$F$6),OR(Главная!$F$7="Все",$C87=Главная!$F$7)),$L87,"")</f>
        <v/>
      </c>
      <c r="N87" s="0" t="str">
        <f aca="false">IF(AND($J87="Текущие",OR(Главная!$F$6="Все",$B87=Главная!$F$6),OR(Главная!$F$7="Все",$C87=Главная!$F$7)),$L87,"")</f>
        <v/>
      </c>
      <c r="O87" s="0" t="str">
        <f aca="false">IF(AND($J87="Плановые",OR(Главная!$F$6="Все",$B87=Главная!$F$6),OR(Главная!$F$7="Все",$C87=Главная!$F$7)),$L87,"")</f>
        <v/>
      </c>
      <c r="P87" s="0" t="str">
        <f aca="false">IF(J87="Выполнено",ROW(),"")</f>
        <v/>
      </c>
    </row>
    <row r="88" customFormat="false" ht="21.75" hidden="false" customHeight="true" outlineLevel="0" collapsed="false">
      <c r="A88" s="31"/>
      <c r="B88" s="31"/>
      <c r="C88" s="32"/>
      <c r="D88" s="32"/>
      <c r="E88" s="33"/>
      <c r="F88" s="33"/>
      <c r="G88" s="32"/>
      <c r="H88" s="32"/>
      <c r="I88" s="31"/>
      <c r="J88" s="34" t="str">
        <f aca="true">IF(TRIM(A88)="","",IF(D88="Выполнено","Выполнено",IF(OR(C88="Срочно",AND(F88&lt;&gt;"",F88&lt;=TODAY())),"Срочные",IF(OR(D88="Отложено",C88="Низкий",AND(F88&lt;&gt;"",F88&gt;TODAY()+Справочники!$H$2)),"Плановые","Текущие"))))</f>
        <v/>
      </c>
      <c r="K88" s="35" t="str">
        <f aca="true">IF(OR(A88="",D88="Выполнено"),"",IF(F88="",IF(AND(G88&lt;&gt;"",G88&lt;&gt;"Разово"),"↻ "&amp;G88,""),IF(F88&lt;TODAY(),"Просрочено на "&amp;(TODAY()-F88)&amp;" дн.",IF(F88=TODAY(),"Сегодня",IF(F88=TODAY()+1,"Завтра","Через "&amp;(F88-TODAY())&amp;" дн.")))))</f>
        <v/>
      </c>
      <c r="L88" s="0" t="str">
        <f aca="true">IF(J88="","",(IF(AND(F88&lt;&gt;"",F88&lt;TODAY()),0,1)*10000000+IFERROR(MATCH(C88,{"Срочно","Высокий","Средний","Низкий"},0),5)*100000+IF(F88="",99999,F88))*1000+ROW())</f>
        <v/>
      </c>
      <c r="M88" s="0" t="str">
        <f aca="false">IF(AND($J88="Срочные",OR(Главная!$F$6="Все",$B88=Главная!$F$6),OR(Главная!$F$7="Все",$C88=Главная!$F$7)),$L88,"")</f>
        <v/>
      </c>
      <c r="N88" s="0" t="str">
        <f aca="false">IF(AND($J88="Текущие",OR(Главная!$F$6="Все",$B88=Главная!$F$6),OR(Главная!$F$7="Все",$C88=Главная!$F$7)),$L88,"")</f>
        <v/>
      </c>
      <c r="O88" s="0" t="str">
        <f aca="false">IF(AND($J88="Плановые",OR(Главная!$F$6="Все",$B88=Главная!$F$6),OR(Главная!$F$7="Все",$C88=Главная!$F$7)),$L88,"")</f>
        <v/>
      </c>
      <c r="P88" s="0" t="str">
        <f aca="false">IF(J88="Выполнено",ROW(),"")</f>
        <v/>
      </c>
    </row>
    <row r="89" customFormat="false" ht="21.75" hidden="false" customHeight="true" outlineLevel="0" collapsed="false">
      <c r="A89" s="31"/>
      <c r="B89" s="31"/>
      <c r="C89" s="32"/>
      <c r="D89" s="32"/>
      <c r="E89" s="33"/>
      <c r="F89" s="33"/>
      <c r="G89" s="32"/>
      <c r="H89" s="32"/>
      <c r="I89" s="31"/>
      <c r="J89" s="34" t="str">
        <f aca="true">IF(TRIM(A89)="","",IF(D89="Выполнено","Выполнено",IF(OR(C89="Срочно",AND(F89&lt;&gt;"",F89&lt;=TODAY())),"Срочные",IF(OR(D89="Отложено",C89="Низкий",AND(F89&lt;&gt;"",F89&gt;TODAY()+Справочники!$H$2)),"Плановые","Текущие"))))</f>
        <v/>
      </c>
      <c r="K89" s="35" t="str">
        <f aca="true">IF(OR(A89="",D89="Выполнено"),"",IF(F89="",IF(AND(G89&lt;&gt;"",G89&lt;&gt;"Разово"),"↻ "&amp;G89,""),IF(F89&lt;TODAY(),"Просрочено на "&amp;(TODAY()-F89)&amp;" дн.",IF(F89=TODAY(),"Сегодня",IF(F89=TODAY()+1,"Завтра","Через "&amp;(F89-TODAY())&amp;" дн.")))))</f>
        <v/>
      </c>
      <c r="L89" s="0" t="str">
        <f aca="true">IF(J89="","",(IF(AND(F89&lt;&gt;"",F89&lt;TODAY()),0,1)*10000000+IFERROR(MATCH(C89,{"Срочно","Высокий","Средний","Низкий"},0),5)*100000+IF(F89="",99999,F89))*1000+ROW())</f>
        <v/>
      </c>
      <c r="M89" s="0" t="str">
        <f aca="false">IF(AND($J89="Срочные",OR(Главная!$F$6="Все",$B89=Главная!$F$6),OR(Главная!$F$7="Все",$C89=Главная!$F$7)),$L89,"")</f>
        <v/>
      </c>
      <c r="N89" s="0" t="str">
        <f aca="false">IF(AND($J89="Текущие",OR(Главная!$F$6="Все",$B89=Главная!$F$6),OR(Главная!$F$7="Все",$C89=Главная!$F$7)),$L89,"")</f>
        <v/>
      </c>
      <c r="O89" s="0" t="str">
        <f aca="false">IF(AND($J89="Плановые",OR(Главная!$F$6="Все",$B89=Главная!$F$6),OR(Главная!$F$7="Все",$C89=Главная!$F$7)),$L89,"")</f>
        <v/>
      </c>
      <c r="P89" s="0" t="str">
        <f aca="false">IF(J89="Выполнено",ROW(),"")</f>
        <v/>
      </c>
    </row>
    <row r="90" customFormat="false" ht="21.75" hidden="false" customHeight="true" outlineLevel="0" collapsed="false">
      <c r="A90" s="31"/>
      <c r="B90" s="31"/>
      <c r="C90" s="32"/>
      <c r="D90" s="32"/>
      <c r="E90" s="33"/>
      <c r="F90" s="33"/>
      <c r="G90" s="32"/>
      <c r="H90" s="32"/>
      <c r="I90" s="31"/>
      <c r="J90" s="34" t="str">
        <f aca="true">IF(TRIM(A90)="","",IF(D90="Выполнено","Выполнено",IF(OR(C90="Срочно",AND(F90&lt;&gt;"",F90&lt;=TODAY())),"Срочные",IF(OR(D90="Отложено",C90="Низкий",AND(F90&lt;&gt;"",F90&gt;TODAY()+Справочники!$H$2)),"Плановые","Текущие"))))</f>
        <v/>
      </c>
      <c r="K90" s="35" t="str">
        <f aca="true">IF(OR(A90="",D90="Выполнено"),"",IF(F90="",IF(AND(G90&lt;&gt;"",G90&lt;&gt;"Разово"),"↻ "&amp;G90,""),IF(F90&lt;TODAY(),"Просрочено на "&amp;(TODAY()-F90)&amp;" дн.",IF(F90=TODAY(),"Сегодня",IF(F90=TODAY()+1,"Завтра","Через "&amp;(F90-TODAY())&amp;" дн.")))))</f>
        <v/>
      </c>
      <c r="L90" s="0" t="str">
        <f aca="true">IF(J90="","",(IF(AND(F90&lt;&gt;"",F90&lt;TODAY()),0,1)*10000000+IFERROR(MATCH(C90,{"Срочно","Высокий","Средний","Низкий"},0),5)*100000+IF(F90="",99999,F90))*1000+ROW())</f>
        <v/>
      </c>
      <c r="M90" s="0" t="str">
        <f aca="false">IF(AND($J90="Срочные",OR(Главная!$F$6="Все",$B90=Главная!$F$6),OR(Главная!$F$7="Все",$C90=Главная!$F$7)),$L90,"")</f>
        <v/>
      </c>
      <c r="N90" s="0" t="str">
        <f aca="false">IF(AND($J90="Текущие",OR(Главная!$F$6="Все",$B90=Главная!$F$6),OR(Главная!$F$7="Все",$C90=Главная!$F$7)),$L90,"")</f>
        <v/>
      </c>
      <c r="O90" s="0" t="str">
        <f aca="false">IF(AND($J90="Плановые",OR(Главная!$F$6="Все",$B90=Главная!$F$6),OR(Главная!$F$7="Все",$C90=Главная!$F$7)),$L90,"")</f>
        <v/>
      </c>
      <c r="P90" s="0" t="str">
        <f aca="false">IF(J90="Выполнено",ROW(),"")</f>
        <v/>
      </c>
    </row>
    <row r="91" customFormat="false" ht="21.75" hidden="false" customHeight="true" outlineLevel="0" collapsed="false">
      <c r="A91" s="31"/>
      <c r="B91" s="31"/>
      <c r="C91" s="32"/>
      <c r="D91" s="32"/>
      <c r="E91" s="33"/>
      <c r="F91" s="33"/>
      <c r="G91" s="32"/>
      <c r="H91" s="32"/>
      <c r="I91" s="31"/>
      <c r="J91" s="34" t="str">
        <f aca="true">IF(TRIM(A91)="","",IF(D91="Выполнено","Выполнено",IF(OR(C91="Срочно",AND(F91&lt;&gt;"",F91&lt;=TODAY())),"Срочные",IF(OR(D91="Отложено",C91="Низкий",AND(F91&lt;&gt;"",F91&gt;TODAY()+Справочники!$H$2)),"Плановые","Текущие"))))</f>
        <v/>
      </c>
      <c r="K91" s="35" t="str">
        <f aca="true">IF(OR(A91="",D91="Выполнено"),"",IF(F91="",IF(AND(G91&lt;&gt;"",G91&lt;&gt;"Разово"),"↻ "&amp;G91,""),IF(F91&lt;TODAY(),"Просрочено на "&amp;(TODAY()-F91)&amp;" дн.",IF(F91=TODAY(),"Сегодня",IF(F91=TODAY()+1,"Завтра","Через "&amp;(F91-TODAY())&amp;" дн.")))))</f>
        <v/>
      </c>
      <c r="L91" s="0" t="str">
        <f aca="true">IF(J91="","",(IF(AND(F91&lt;&gt;"",F91&lt;TODAY()),0,1)*10000000+IFERROR(MATCH(C91,{"Срочно","Высокий","Средний","Низкий"},0),5)*100000+IF(F91="",99999,F91))*1000+ROW())</f>
        <v/>
      </c>
      <c r="M91" s="0" t="str">
        <f aca="false">IF(AND($J91="Срочные",OR(Главная!$F$6="Все",$B91=Главная!$F$6),OR(Главная!$F$7="Все",$C91=Главная!$F$7)),$L91,"")</f>
        <v/>
      </c>
      <c r="N91" s="0" t="str">
        <f aca="false">IF(AND($J91="Текущие",OR(Главная!$F$6="Все",$B91=Главная!$F$6),OR(Главная!$F$7="Все",$C91=Главная!$F$7)),$L91,"")</f>
        <v/>
      </c>
      <c r="O91" s="0" t="str">
        <f aca="false">IF(AND($J91="Плановые",OR(Главная!$F$6="Все",$B91=Главная!$F$6),OR(Главная!$F$7="Все",$C91=Главная!$F$7)),$L91,"")</f>
        <v/>
      </c>
      <c r="P91" s="0" t="str">
        <f aca="false">IF(J91="Выполнено",ROW(),"")</f>
        <v/>
      </c>
    </row>
    <row r="92" customFormat="false" ht="21.75" hidden="false" customHeight="true" outlineLevel="0" collapsed="false">
      <c r="A92" s="31"/>
      <c r="B92" s="31"/>
      <c r="C92" s="32"/>
      <c r="D92" s="32"/>
      <c r="E92" s="33"/>
      <c r="F92" s="33"/>
      <c r="G92" s="32"/>
      <c r="H92" s="32"/>
      <c r="I92" s="31"/>
      <c r="J92" s="34" t="str">
        <f aca="true">IF(TRIM(A92)="","",IF(D92="Выполнено","Выполнено",IF(OR(C92="Срочно",AND(F92&lt;&gt;"",F92&lt;=TODAY())),"Срочные",IF(OR(D92="Отложено",C92="Низкий",AND(F92&lt;&gt;"",F92&gt;TODAY()+Справочники!$H$2)),"Плановые","Текущие"))))</f>
        <v/>
      </c>
      <c r="K92" s="35" t="str">
        <f aca="true">IF(OR(A92="",D92="Выполнено"),"",IF(F92="",IF(AND(G92&lt;&gt;"",G92&lt;&gt;"Разово"),"↻ "&amp;G92,""),IF(F92&lt;TODAY(),"Просрочено на "&amp;(TODAY()-F92)&amp;" дн.",IF(F92=TODAY(),"Сегодня",IF(F92=TODAY()+1,"Завтра","Через "&amp;(F92-TODAY())&amp;" дн.")))))</f>
        <v/>
      </c>
      <c r="L92" s="0" t="str">
        <f aca="true">IF(J92="","",(IF(AND(F92&lt;&gt;"",F92&lt;TODAY()),0,1)*10000000+IFERROR(MATCH(C92,{"Срочно","Высокий","Средний","Низкий"},0),5)*100000+IF(F92="",99999,F92))*1000+ROW())</f>
        <v/>
      </c>
      <c r="M92" s="0" t="str">
        <f aca="false">IF(AND($J92="Срочные",OR(Главная!$F$6="Все",$B92=Главная!$F$6),OR(Главная!$F$7="Все",$C92=Главная!$F$7)),$L92,"")</f>
        <v/>
      </c>
      <c r="N92" s="0" t="str">
        <f aca="false">IF(AND($J92="Текущие",OR(Главная!$F$6="Все",$B92=Главная!$F$6),OR(Главная!$F$7="Все",$C92=Главная!$F$7)),$L92,"")</f>
        <v/>
      </c>
      <c r="O92" s="0" t="str">
        <f aca="false">IF(AND($J92="Плановые",OR(Главная!$F$6="Все",$B92=Главная!$F$6),OR(Главная!$F$7="Все",$C92=Главная!$F$7)),$L92,"")</f>
        <v/>
      </c>
      <c r="P92" s="0" t="str">
        <f aca="false">IF(J92="Выполнено",ROW(),"")</f>
        <v/>
      </c>
    </row>
    <row r="93" customFormat="false" ht="21.75" hidden="false" customHeight="true" outlineLevel="0" collapsed="false">
      <c r="A93" s="31"/>
      <c r="B93" s="31"/>
      <c r="C93" s="32"/>
      <c r="D93" s="32"/>
      <c r="E93" s="33"/>
      <c r="F93" s="33"/>
      <c r="G93" s="32"/>
      <c r="H93" s="32"/>
      <c r="I93" s="31"/>
      <c r="J93" s="34" t="str">
        <f aca="true">IF(TRIM(A93)="","",IF(D93="Выполнено","Выполнено",IF(OR(C93="Срочно",AND(F93&lt;&gt;"",F93&lt;=TODAY())),"Срочные",IF(OR(D93="Отложено",C93="Низкий",AND(F93&lt;&gt;"",F93&gt;TODAY()+Справочники!$H$2)),"Плановые","Текущие"))))</f>
        <v/>
      </c>
      <c r="K93" s="35" t="str">
        <f aca="true">IF(OR(A93="",D93="Выполнено"),"",IF(F93="",IF(AND(G93&lt;&gt;"",G93&lt;&gt;"Разово"),"↻ "&amp;G93,""),IF(F93&lt;TODAY(),"Просрочено на "&amp;(TODAY()-F93)&amp;" дн.",IF(F93=TODAY(),"Сегодня",IF(F93=TODAY()+1,"Завтра","Через "&amp;(F93-TODAY())&amp;" дн.")))))</f>
        <v/>
      </c>
      <c r="L93" s="0" t="str">
        <f aca="true">IF(J93="","",(IF(AND(F93&lt;&gt;"",F93&lt;TODAY()),0,1)*10000000+IFERROR(MATCH(C93,{"Срочно","Высокий","Средний","Низкий"},0),5)*100000+IF(F93="",99999,F93))*1000+ROW())</f>
        <v/>
      </c>
      <c r="M93" s="0" t="str">
        <f aca="false">IF(AND($J93="Срочные",OR(Главная!$F$6="Все",$B93=Главная!$F$6),OR(Главная!$F$7="Все",$C93=Главная!$F$7)),$L93,"")</f>
        <v/>
      </c>
      <c r="N93" s="0" t="str">
        <f aca="false">IF(AND($J93="Текущие",OR(Главная!$F$6="Все",$B93=Главная!$F$6),OR(Главная!$F$7="Все",$C93=Главная!$F$7)),$L93,"")</f>
        <v/>
      </c>
      <c r="O93" s="0" t="str">
        <f aca="false">IF(AND($J93="Плановые",OR(Главная!$F$6="Все",$B93=Главная!$F$6),OR(Главная!$F$7="Все",$C93=Главная!$F$7)),$L93,"")</f>
        <v/>
      </c>
      <c r="P93" s="0" t="str">
        <f aca="false">IF(J93="Выполнено",ROW(),"")</f>
        <v/>
      </c>
    </row>
    <row r="94" customFormat="false" ht="21.75" hidden="false" customHeight="true" outlineLevel="0" collapsed="false">
      <c r="A94" s="31"/>
      <c r="B94" s="31"/>
      <c r="C94" s="32"/>
      <c r="D94" s="32"/>
      <c r="E94" s="33"/>
      <c r="F94" s="33"/>
      <c r="G94" s="32"/>
      <c r="H94" s="32"/>
      <c r="I94" s="31"/>
      <c r="J94" s="34" t="str">
        <f aca="true">IF(TRIM(A94)="","",IF(D94="Выполнено","Выполнено",IF(OR(C94="Срочно",AND(F94&lt;&gt;"",F94&lt;=TODAY())),"Срочные",IF(OR(D94="Отложено",C94="Низкий",AND(F94&lt;&gt;"",F94&gt;TODAY()+Справочники!$H$2)),"Плановые","Текущие"))))</f>
        <v/>
      </c>
      <c r="K94" s="35" t="str">
        <f aca="true">IF(OR(A94="",D94="Выполнено"),"",IF(F94="",IF(AND(G94&lt;&gt;"",G94&lt;&gt;"Разово"),"↻ "&amp;G94,""),IF(F94&lt;TODAY(),"Просрочено на "&amp;(TODAY()-F94)&amp;" дн.",IF(F94=TODAY(),"Сегодня",IF(F94=TODAY()+1,"Завтра","Через "&amp;(F94-TODAY())&amp;" дн.")))))</f>
        <v/>
      </c>
      <c r="L94" s="0" t="str">
        <f aca="true">IF(J94="","",(IF(AND(F94&lt;&gt;"",F94&lt;TODAY()),0,1)*10000000+IFERROR(MATCH(C94,{"Срочно","Высокий","Средний","Низкий"},0),5)*100000+IF(F94="",99999,F94))*1000+ROW())</f>
        <v/>
      </c>
      <c r="M94" s="0" t="str">
        <f aca="false">IF(AND($J94="Срочные",OR(Главная!$F$6="Все",$B94=Главная!$F$6),OR(Главная!$F$7="Все",$C94=Главная!$F$7)),$L94,"")</f>
        <v/>
      </c>
      <c r="N94" s="0" t="str">
        <f aca="false">IF(AND($J94="Текущие",OR(Главная!$F$6="Все",$B94=Главная!$F$6),OR(Главная!$F$7="Все",$C94=Главная!$F$7)),$L94,"")</f>
        <v/>
      </c>
      <c r="O94" s="0" t="str">
        <f aca="false">IF(AND($J94="Плановые",OR(Главная!$F$6="Все",$B94=Главная!$F$6),OR(Главная!$F$7="Все",$C94=Главная!$F$7)),$L94,"")</f>
        <v/>
      </c>
      <c r="P94" s="0" t="str">
        <f aca="false">IF(J94="Выполнено",ROW(),"")</f>
        <v/>
      </c>
    </row>
    <row r="95" customFormat="false" ht="21.75" hidden="false" customHeight="true" outlineLevel="0" collapsed="false">
      <c r="A95" s="31"/>
      <c r="B95" s="31"/>
      <c r="C95" s="32"/>
      <c r="D95" s="32"/>
      <c r="E95" s="33"/>
      <c r="F95" s="33"/>
      <c r="G95" s="32"/>
      <c r="H95" s="32"/>
      <c r="I95" s="31"/>
      <c r="J95" s="34" t="str">
        <f aca="true">IF(TRIM(A95)="","",IF(D95="Выполнено","Выполнено",IF(OR(C95="Срочно",AND(F95&lt;&gt;"",F95&lt;=TODAY())),"Срочные",IF(OR(D95="Отложено",C95="Низкий",AND(F95&lt;&gt;"",F95&gt;TODAY()+Справочники!$H$2)),"Плановые","Текущие"))))</f>
        <v/>
      </c>
      <c r="K95" s="35" t="str">
        <f aca="true">IF(OR(A95="",D95="Выполнено"),"",IF(F95="",IF(AND(G95&lt;&gt;"",G95&lt;&gt;"Разово"),"↻ "&amp;G95,""),IF(F95&lt;TODAY(),"Просрочено на "&amp;(TODAY()-F95)&amp;" дн.",IF(F95=TODAY(),"Сегодня",IF(F95=TODAY()+1,"Завтра","Через "&amp;(F95-TODAY())&amp;" дн.")))))</f>
        <v/>
      </c>
      <c r="L95" s="0" t="str">
        <f aca="true">IF(J95="","",(IF(AND(F95&lt;&gt;"",F95&lt;TODAY()),0,1)*10000000+IFERROR(MATCH(C95,{"Срочно","Высокий","Средний","Низкий"},0),5)*100000+IF(F95="",99999,F95))*1000+ROW())</f>
        <v/>
      </c>
      <c r="M95" s="0" t="str">
        <f aca="false">IF(AND($J95="Срочные",OR(Главная!$F$6="Все",$B95=Главная!$F$6),OR(Главная!$F$7="Все",$C95=Главная!$F$7)),$L95,"")</f>
        <v/>
      </c>
      <c r="N95" s="0" t="str">
        <f aca="false">IF(AND($J95="Текущие",OR(Главная!$F$6="Все",$B95=Главная!$F$6),OR(Главная!$F$7="Все",$C95=Главная!$F$7)),$L95,"")</f>
        <v/>
      </c>
      <c r="O95" s="0" t="str">
        <f aca="false">IF(AND($J95="Плановые",OR(Главная!$F$6="Все",$B95=Главная!$F$6),OR(Главная!$F$7="Все",$C95=Главная!$F$7)),$L95,"")</f>
        <v/>
      </c>
      <c r="P95" s="0" t="str">
        <f aca="false">IF(J95="Выполнено",ROW(),"")</f>
        <v/>
      </c>
    </row>
    <row r="96" customFormat="false" ht="21.75" hidden="false" customHeight="true" outlineLevel="0" collapsed="false">
      <c r="A96" s="31"/>
      <c r="B96" s="31"/>
      <c r="C96" s="32"/>
      <c r="D96" s="32"/>
      <c r="E96" s="33"/>
      <c r="F96" s="33"/>
      <c r="G96" s="32"/>
      <c r="H96" s="32"/>
      <c r="I96" s="31"/>
      <c r="J96" s="34" t="str">
        <f aca="true">IF(TRIM(A96)="","",IF(D96="Выполнено","Выполнено",IF(OR(C96="Срочно",AND(F96&lt;&gt;"",F96&lt;=TODAY())),"Срочные",IF(OR(D96="Отложено",C96="Низкий",AND(F96&lt;&gt;"",F96&gt;TODAY()+Справочники!$H$2)),"Плановые","Текущие"))))</f>
        <v/>
      </c>
      <c r="K96" s="35" t="str">
        <f aca="true">IF(OR(A96="",D96="Выполнено"),"",IF(F96="",IF(AND(G96&lt;&gt;"",G96&lt;&gt;"Разово"),"↻ "&amp;G96,""),IF(F96&lt;TODAY(),"Просрочено на "&amp;(TODAY()-F96)&amp;" дн.",IF(F96=TODAY(),"Сегодня",IF(F96=TODAY()+1,"Завтра","Через "&amp;(F96-TODAY())&amp;" дн.")))))</f>
        <v/>
      </c>
      <c r="L96" s="0" t="str">
        <f aca="true">IF(J96="","",(IF(AND(F96&lt;&gt;"",F96&lt;TODAY()),0,1)*10000000+IFERROR(MATCH(C96,{"Срочно","Высокий","Средний","Низкий"},0),5)*100000+IF(F96="",99999,F96))*1000+ROW())</f>
        <v/>
      </c>
      <c r="M96" s="0" t="str">
        <f aca="false">IF(AND($J96="Срочные",OR(Главная!$F$6="Все",$B96=Главная!$F$6),OR(Главная!$F$7="Все",$C96=Главная!$F$7)),$L96,"")</f>
        <v/>
      </c>
      <c r="N96" s="0" t="str">
        <f aca="false">IF(AND($J96="Текущие",OR(Главная!$F$6="Все",$B96=Главная!$F$6),OR(Главная!$F$7="Все",$C96=Главная!$F$7)),$L96,"")</f>
        <v/>
      </c>
      <c r="O96" s="0" t="str">
        <f aca="false">IF(AND($J96="Плановые",OR(Главная!$F$6="Все",$B96=Главная!$F$6),OR(Главная!$F$7="Все",$C96=Главная!$F$7)),$L96,"")</f>
        <v/>
      </c>
      <c r="P96" s="0" t="str">
        <f aca="false">IF(J96="Выполнено",ROW(),"")</f>
        <v/>
      </c>
    </row>
    <row r="97" customFormat="false" ht="21.75" hidden="false" customHeight="true" outlineLevel="0" collapsed="false">
      <c r="A97" s="31"/>
      <c r="B97" s="31"/>
      <c r="C97" s="32"/>
      <c r="D97" s="32"/>
      <c r="E97" s="33"/>
      <c r="F97" s="33"/>
      <c r="G97" s="32"/>
      <c r="H97" s="32"/>
      <c r="I97" s="31"/>
      <c r="J97" s="34" t="str">
        <f aca="true">IF(TRIM(A97)="","",IF(D97="Выполнено","Выполнено",IF(OR(C97="Срочно",AND(F97&lt;&gt;"",F97&lt;=TODAY())),"Срочные",IF(OR(D97="Отложено",C97="Низкий",AND(F97&lt;&gt;"",F97&gt;TODAY()+Справочники!$H$2)),"Плановые","Текущие"))))</f>
        <v/>
      </c>
      <c r="K97" s="35" t="str">
        <f aca="true">IF(OR(A97="",D97="Выполнено"),"",IF(F97="",IF(AND(G97&lt;&gt;"",G97&lt;&gt;"Разово"),"↻ "&amp;G97,""),IF(F97&lt;TODAY(),"Просрочено на "&amp;(TODAY()-F97)&amp;" дн.",IF(F97=TODAY(),"Сегодня",IF(F97=TODAY()+1,"Завтра","Через "&amp;(F97-TODAY())&amp;" дн.")))))</f>
        <v/>
      </c>
      <c r="L97" s="0" t="str">
        <f aca="true">IF(J97="","",(IF(AND(F97&lt;&gt;"",F97&lt;TODAY()),0,1)*10000000+IFERROR(MATCH(C97,{"Срочно","Высокий","Средний","Низкий"},0),5)*100000+IF(F97="",99999,F97))*1000+ROW())</f>
        <v/>
      </c>
      <c r="M97" s="0" t="str">
        <f aca="false">IF(AND($J97="Срочные",OR(Главная!$F$6="Все",$B97=Главная!$F$6),OR(Главная!$F$7="Все",$C97=Главная!$F$7)),$L97,"")</f>
        <v/>
      </c>
      <c r="N97" s="0" t="str">
        <f aca="false">IF(AND($J97="Текущие",OR(Главная!$F$6="Все",$B97=Главная!$F$6),OR(Главная!$F$7="Все",$C97=Главная!$F$7)),$L97,"")</f>
        <v/>
      </c>
      <c r="O97" s="0" t="str">
        <f aca="false">IF(AND($J97="Плановые",OR(Главная!$F$6="Все",$B97=Главная!$F$6),OR(Главная!$F$7="Все",$C97=Главная!$F$7)),$L97,"")</f>
        <v/>
      </c>
      <c r="P97" s="0" t="str">
        <f aca="false">IF(J97="Выполнено",ROW(),"")</f>
        <v/>
      </c>
    </row>
    <row r="98" customFormat="false" ht="21.75" hidden="false" customHeight="true" outlineLevel="0" collapsed="false">
      <c r="A98" s="31"/>
      <c r="B98" s="31"/>
      <c r="C98" s="32"/>
      <c r="D98" s="32"/>
      <c r="E98" s="33"/>
      <c r="F98" s="33"/>
      <c r="G98" s="32"/>
      <c r="H98" s="32"/>
      <c r="I98" s="31"/>
      <c r="J98" s="34" t="str">
        <f aca="true">IF(TRIM(A98)="","",IF(D98="Выполнено","Выполнено",IF(OR(C98="Срочно",AND(F98&lt;&gt;"",F98&lt;=TODAY())),"Срочные",IF(OR(D98="Отложено",C98="Низкий",AND(F98&lt;&gt;"",F98&gt;TODAY()+Справочники!$H$2)),"Плановые","Текущие"))))</f>
        <v/>
      </c>
      <c r="K98" s="35" t="str">
        <f aca="true">IF(OR(A98="",D98="Выполнено"),"",IF(F98="",IF(AND(G98&lt;&gt;"",G98&lt;&gt;"Разово"),"↻ "&amp;G98,""),IF(F98&lt;TODAY(),"Просрочено на "&amp;(TODAY()-F98)&amp;" дн.",IF(F98=TODAY(),"Сегодня",IF(F98=TODAY()+1,"Завтра","Через "&amp;(F98-TODAY())&amp;" дн.")))))</f>
        <v/>
      </c>
      <c r="L98" s="0" t="str">
        <f aca="true">IF(J98="","",(IF(AND(F98&lt;&gt;"",F98&lt;TODAY()),0,1)*10000000+IFERROR(MATCH(C98,{"Срочно","Высокий","Средний","Низкий"},0),5)*100000+IF(F98="",99999,F98))*1000+ROW())</f>
        <v/>
      </c>
      <c r="M98" s="0" t="str">
        <f aca="false">IF(AND($J98="Срочные",OR(Главная!$F$6="Все",$B98=Главная!$F$6),OR(Главная!$F$7="Все",$C98=Главная!$F$7)),$L98,"")</f>
        <v/>
      </c>
      <c r="N98" s="0" t="str">
        <f aca="false">IF(AND($J98="Текущие",OR(Главная!$F$6="Все",$B98=Главная!$F$6),OR(Главная!$F$7="Все",$C98=Главная!$F$7)),$L98,"")</f>
        <v/>
      </c>
      <c r="O98" s="0" t="str">
        <f aca="false">IF(AND($J98="Плановые",OR(Главная!$F$6="Все",$B98=Главная!$F$6),OR(Главная!$F$7="Все",$C98=Главная!$F$7)),$L98,"")</f>
        <v/>
      </c>
      <c r="P98" s="0" t="str">
        <f aca="false">IF(J98="Выполнено",ROW(),"")</f>
        <v/>
      </c>
    </row>
    <row r="99" customFormat="false" ht="21.75" hidden="false" customHeight="true" outlineLevel="0" collapsed="false">
      <c r="A99" s="31"/>
      <c r="B99" s="31"/>
      <c r="C99" s="32"/>
      <c r="D99" s="32"/>
      <c r="E99" s="33"/>
      <c r="F99" s="33"/>
      <c r="G99" s="32"/>
      <c r="H99" s="32"/>
      <c r="I99" s="31"/>
      <c r="J99" s="34" t="str">
        <f aca="true">IF(TRIM(A99)="","",IF(D99="Выполнено","Выполнено",IF(OR(C99="Срочно",AND(F99&lt;&gt;"",F99&lt;=TODAY())),"Срочные",IF(OR(D99="Отложено",C99="Низкий",AND(F99&lt;&gt;"",F99&gt;TODAY()+Справочники!$H$2)),"Плановые","Текущие"))))</f>
        <v/>
      </c>
      <c r="K99" s="35" t="str">
        <f aca="true">IF(OR(A99="",D99="Выполнено"),"",IF(F99="",IF(AND(G99&lt;&gt;"",G99&lt;&gt;"Разово"),"↻ "&amp;G99,""),IF(F99&lt;TODAY(),"Просрочено на "&amp;(TODAY()-F99)&amp;" дн.",IF(F99=TODAY(),"Сегодня",IF(F99=TODAY()+1,"Завтра","Через "&amp;(F99-TODAY())&amp;" дн.")))))</f>
        <v/>
      </c>
      <c r="L99" s="0" t="str">
        <f aca="true">IF(J99="","",(IF(AND(F99&lt;&gt;"",F99&lt;TODAY()),0,1)*10000000+IFERROR(MATCH(C99,{"Срочно","Высокий","Средний","Низкий"},0),5)*100000+IF(F99="",99999,F99))*1000+ROW())</f>
        <v/>
      </c>
      <c r="M99" s="0" t="str">
        <f aca="false">IF(AND($J99="Срочные",OR(Главная!$F$6="Все",$B99=Главная!$F$6),OR(Главная!$F$7="Все",$C99=Главная!$F$7)),$L99,"")</f>
        <v/>
      </c>
      <c r="N99" s="0" t="str">
        <f aca="false">IF(AND($J99="Текущие",OR(Главная!$F$6="Все",$B99=Главная!$F$6),OR(Главная!$F$7="Все",$C99=Главная!$F$7)),$L99,"")</f>
        <v/>
      </c>
      <c r="O99" s="0" t="str">
        <f aca="false">IF(AND($J99="Плановые",OR(Главная!$F$6="Все",$B99=Главная!$F$6),OR(Главная!$F$7="Все",$C99=Главная!$F$7)),$L99,"")</f>
        <v/>
      </c>
      <c r="P99" s="0" t="str">
        <f aca="false">IF(J99="Выполнено",ROW(),"")</f>
        <v/>
      </c>
    </row>
    <row r="100" customFormat="false" ht="21.75" hidden="false" customHeight="true" outlineLevel="0" collapsed="false">
      <c r="A100" s="31"/>
      <c r="B100" s="31"/>
      <c r="C100" s="32"/>
      <c r="D100" s="32"/>
      <c r="E100" s="33"/>
      <c r="F100" s="33"/>
      <c r="G100" s="32"/>
      <c r="H100" s="32"/>
      <c r="I100" s="31"/>
      <c r="J100" s="34" t="str">
        <f aca="true">IF(TRIM(A100)="","",IF(D100="Выполнено","Выполнено",IF(OR(C100="Срочно",AND(F100&lt;&gt;"",F100&lt;=TODAY())),"Срочные",IF(OR(D100="Отложено",C100="Низкий",AND(F100&lt;&gt;"",F100&gt;TODAY()+Справочники!$H$2)),"Плановые","Текущие"))))</f>
        <v/>
      </c>
      <c r="K100" s="35" t="str">
        <f aca="true">IF(OR(A100="",D100="Выполнено"),"",IF(F100="",IF(AND(G100&lt;&gt;"",G100&lt;&gt;"Разово"),"↻ "&amp;G100,""),IF(F100&lt;TODAY(),"Просрочено на "&amp;(TODAY()-F100)&amp;" дн.",IF(F100=TODAY(),"Сегодня",IF(F100=TODAY()+1,"Завтра","Через "&amp;(F100-TODAY())&amp;" дн.")))))</f>
        <v/>
      </c>
      <c r="L100" s="0" t="str">
        <f aca="true">IF(J100="","",(IF(AND(F100&lt;&gt;"",F100&lt;TODAY()),0,1)*10000000+IFERROR(MATCH(C100,{"Срочно","Высокий","Средний","Низкий"},0),5)*100000+IF(F100="",99999,F100))*1000+ROW())</f>
        <v/>
      </c>
      <c r="M100" s="0" t="str">
        <f aca="false">IF(AND($J100="Срочные",OR(Главная!$F$6="Все",$B100=Главная!$F$6),OR(Главная!$F$7="Все",$C100=Главная!$F$7)),$L100,"")</f>
        <v/>
      </c>
      <c r="N100" s="0" t="str">
        <f aca="false">IF(AND($J100="Текущие",OR(Главная!$F$6="Все",$B100=Главная!$F$6),OR(Главная!$F$7="Все",$C100=Главная!$F$7)),$L100,"")</f>
        <v/>
      </c>
      <c r="O100" s="0" t="str">
        <f aca="false">IF(AND($J100="Плановые",OR(Главная!$F$6="Все",$B100=Главная!$F$6),OR(Главная!$F$7="Все",$C100=Главная!$F$7)),$L100,"")</f>
        <v/>
      </c>
      <c r="P100" s="0" t="str">
        <f aca="false">IF(J100="Выполнено",ROW(),"")</f>
        <v/>
      </c>
    </row>
    <row r="101" customFormat="false" ht="21.75" hidden="false" customHeight="true" outlineLevel="0" collapsed="false">
      <c r="A101" s="31"/>
      <c r="B101" s="31"/>
      <c r="C101" s="32"/>
      <c r="D101" s="32"/>
      <c r="E101" s="33"/>
      <c r="F101" s="33"/>
      <c r="G101" s="32"/>
      <c r="H101" s="32"/>
      <c r="I101" s="31"/>
      <c r="J101" s="34" t="str">
        <f aca="true">IF(TRIM(A101)="","",IF(D101="Выполнено","Выполнено",IF(OR(C101="Срочно",AND(F101&lt;&gt;"",F101&lt;=TODAY())),"Срочные",IF(OR(D101="Отложено",C101="Низкий",AND(F101&lt;&gt;"",F101&gt;TODAY()+Справочники!$H$2)),"Плановые","Текущие"))))</f>
        <v/>
      </c>
      <c r="K101" s="35" t="str">
        <f aca="true">IF(OR(A101="",D101="Выполнено"),"",IF(F101="",IF(AND(G101&lt;&gt;"",G101&lt;&gt;"Разово"),"↻ "&amp;G101,""),IF(F101&lt;TODAY(),"Просрочено на "&amp;(TODAY()-F101)&amp;" дн.",IF(F101=TODAY(),"Сегодня",IF(F101=TODAY()+1,"Завтра","Через "&amp;(F101-TODAY())&amp;" дн.")))))</f>
        <v/>
      </c>
      <c r="L101" s="0" t="str">
        <f aca="true">IF(J101="","",(IF(AND(F101&lt;&gt;"",F101&lt;TODAY()),0,1)*10000000+IFERROR(MATCH(C101,{"Срочно","Высокий","Средний","Низкий"},0),5)*100000+IF(F101="",99999,F101))*1000+ROW())</f>
        <v/>
      </c>
      <c r="M101" s="0" t="str">
        <f aca="false">IF(AND($J101="Срочные",OR(Главная!$F$6="Все",$B101=Главная!$F$6),OR(Главная!$F$7="Все",$C101=Главная!$F$7)),$L101,"")</f>
        <v/>
      </c>
      <c r="N101" s="0" t="str">
        <f aca="false">IF(AND($J101="Текущие",OR(Главная!$F$6="Все",$B101=Главная!$F$6),OR(Главная!$F$7="Все",$C101=Главная!$F$7)),$L101,"")</f>
        <v/>
      </c>
      <c r="O101" s="0" t="str">
        <f aca="false">IF(AND($J101="Плановые",OR(Главная!$F$6="Все",$B101=Главная!$F$6),OR(Главная!$F$7="Все",$C101=Главная!$F$7)),$L101,"")</f>
        <v/>
      </c>
      <c r="P101" s="0" t="str">
        <f aca="false">IF(J101="Выполнено",ROW(),"")</f>
        <v/>
      </c>
    </row>
    <row r="102" customFormat="false" ht="21.75" hidden="false" customHeight="true" outlineLevel="0" collapsed="false">
      <c r="A102" s="31"/>
      <c r="B102" s="31"/>
      <c r="C102" s="32"/>
      <c r="D102" s="32"/>
      <c r="E102" s="33"/>
      <c r="F102" s="33"/>
      <c r="G102" s="32"/>
      <c r="H102" s="32"/>
      <c r="I102" s="31"/>
      <c r="J102" s="34" t="str">
        <f aca="true">IF(TRIM(A102)="","",IF(D102="Выполнено","Выполнено",IF(OR(C102="Срочно",AND(F102&lt;&gt;"",F102&lt;=TODAY())),"Срочные",IF(OR(D102="Отложено",C102="Низкий",AND(F102&lt;&gt;"",F102&gt;TODAY()+Справочники!$H$2)),"Плановые","Текущие"))))</f>
        <v/>
      </c>
      <c r="K102" s="35" t="str">
        <f aca="true">IF(OR(A102="",D102="Выполнено"),"",IF(F102="",IF(AND(G102&lt;&gt;"",G102&lt;&gt;"Разово"),"↻ "&amp;G102,""),IF(F102&lt;TODAY(),"Просрочено на "&amp;(TODAY()-F102)&amp;" дн.",IF(F102=TODAY(),"Сегодня",IF(F102=TODAY()+1,"Завтра","Через "&amp;(F102-TODAY())&amp;" дн.")))))</f>
        <v/>
      </c>
      <c r="L102" s="0" t="str">
        <f aca="true">IF(J102="","",(IF(AND(F102&lt;&gt;"",F102&lt;TODAY()),0,1)*10000000+IFERROR(MATCH(C102,{"Срочно","Высокий","Средний","Низкий"},0),5)*100000+IF(F102="",99999,F102))*1000+ROW())</f>
        <v/>
      </c>
      <c r="M102" s="0" t="str">
        <f aca="false">IF(AND($J102="Срочные",OR(Главная!$F$6="Все",$B102=Главная!$F$6),OR(Главная!$F$7="Все",$C102=Главная!$F$7)),$L102,"")</f>
        <v/>
      </c>
      <c r="N102" s="0" t="str">
        <f aca="false">IF(AND($J102="Текущие",OR(Главная!$F$6="Все",$B102=Главная!$F$6),OR(Главная!$F$7="Все",$C102=Главная!$F$7)),$L102,"")</f>
        <v/>
      </c>
      <c r="O102" s="0" t="str">
        <f aca="false">IF(AND($J102="Плановые",OR(Главная!$F$6="Все",$B102=Главная!$F$6),OR(Главная!$F$7="Все",$C102=Главная!$F$7)),$L102,"")</f>
        <v/>
      </c>
      <c r="P102" s="0" t="str">
        <f aca="false">IF(J102="Выполнено",ROW(),"")</f>
        <v/>
      </c>
    </row>
    <row r="103" customFormat="false" ht="21.75" hidden="false" customHeight="true" outlineLevel="0" collapsed="false">
      <c r="A103" s="31"/>
      <c r="B103" s="31"/>
      <c r="C103" s="32"/>
      <c r="D103" s="32"/>
      <c r="E103" s="33"/>
      <c r="F103" s="33"/>
      <c r="G103" s="32"/>
      <c r="H103" s="32"/>
      <c r="I103" s="31"/>
      <c r="J103" s="34" t="str">
        <f aca="true">IF(TRIM(A103)="","",IF(D103="Выполнено","Выполнено",IF(OR(C103="Срочно",AND(F103&lt;&gt;"",F103&lt;=TODAY())),"Срочные",IF(OR(D103="Отложено",C103="Низкий",AND(F103&lt;&gt;"",F103&gt;TODAY()+Справочники!$H$2)),"Плановые","Текущие"))))</f>
        <v/>
      </c>
      <c r="K103" s="35" t="str">
        <f aca="true">IF(OR(A103="",D103="Выполнено"),"",IF(F103="",IF(AND(G103&lt;&gt;"",G103&lt;&gt;"Разово"),"↻ "&amp;G103,""),IF(F103&lt;TODAY(),"Просрочено на "&amp;(TODAY()-F103)&amp;" дн.",IF(F103=TODAY(),"Сегодня",IF(F103=TODAY()+1,"Завтра","Через "&amp;(F103-TODAY())&amp;" дн.")))))</f>
        <v/>
      </c>
      <c r="L103" s="0" t="str">
        <f aca="true">IF(J103="","",(IF(AND(F103&lt;&gt;"",F103&lt;TODAY()),0,1)*10000000+IFERROR(MATCH(C103,{"Срочно","Высокий","Средний","Низкий"},0),5)*100000+IF(F103="",99999,F103))*1000+ROW())</f>
        <v/>
      </c>
      <c r="M103" s="0" t="str">
        <f aca="false">IF(AND($J103="Срочные",OR(Главная!$F$6="Все",$B103=Главная!$F$6),OR(Главная!$F$7="Все",$C103=Главная!$F$7)),$L103,"")</f>
        <v/>
      </c>
      <c r="N103" s="0" t="str">
        <f aca="false">IF(AND($J103="Текущие",OR(Главная!$F$6="Все",$B103=Главная!$F$6),OR(Главная!$F$7="Все",$C103=Главная!$F$7)),$L103,"")</f>
        <v/>
      </c>
      <c r="O103" s="0" t="str">
        <f aca="false">IF(AND($J103="Плановые",OR(Главная!$F$6="Все",$B103=Главная!$F$6),OR(Главная!$F$7="Все",$C103=Главная!$F$7)),$L103,"")</f>
        <v/>
      </c>
      <c r="P103" s="0" t="str">
        <f aca="false">IF(J103="Выполнено",ROW(),"")</f>
        <v/>
      </c>
    </row>
    <row r="104" customFormat="false" ht="21.75" hidden="false" customHeight="true" outlineLevel="0" collapsed="false">
      <c r="A104" s="31"/>
      <c r="B104" s="31"/>
      <c r="C104" s="32"/>
      <c r="D104" s="32"/>
      <c r="E104" s="33"/>
      <c r="F104" s="33"/>
      <c r="G104" s="32"/>
      <c r="H104" s="32"/>
      <c r="I104" s="31"/>
      <c r="J104" s="34" t="str">
        <f aca="true">IF(TRIM(A104)="","",IF(D104="Выполнено","Выполнено",IF(OR(C104="Срочно",AND(F104&lt;&gt;"",F104&lt;=TODAY())),"Срочные",IF(OR(D104="Отложено",C104="Низкий",AND(F104&lt;&gt;"",F104&gt;TODAY()+Справочники!$H$2)),"Плановые","Текущие"))))</f>
        <v/>
      </c>
      <c r="K104" s="35" t="str">
        <f aca="true">IF(OR(A104="",D104="Выполнено"),"",IF(F104="",IF(AND(G104&lt;&gt;"",G104&lt;&gt;"Разово"),"↻ "&amp;G104,""),IF(F104&lt;TODAY(),"Просрочено на "&amp;(TODAY()-F104)&amp;" дн.",IF(F104=TODAY(),"Сегодня",IF(F104=TODAY()+1,"Завтра","Через "&amp;(F104-TODAY())&amp;" дн.")))))</f>
        <v/>
      </c>
      <c r="L104" s="0" t="str">
        <f aca="true">IF(J104="","",(IF(AND(F104&lt;&gt;"",F104&lt;TODAY()),0,1)*10000000+IFERROR(MATCH(C104,{"Срочно","Высокий","Средний","Низкий"},0),5)*100000+IF(F104="",99999,F104))*1000+ROW())</f>
        <v/>
      </c>
      <c r="M104" s="0" t="str">
        <f aca="false">IF(AND($J104="Срочные",OR(Главная!$F$6="Все",$B104=Главная!$F$6),OR(Главная!$F$7="Все",$C104=Главная!$F$7)),$L104,"")</f>
        <v/>
      </c>
      <c r="N104" s="0" t="str">
        <f aca="false">IF(AND($J104="Текущие",OR(Главная!$F$6="Все",$B104=Главная!$F$6),OR(Главная!$F$7="Все",$C104=Главная!$F$7)),$L104,"")</f>
        <v/>
      </c>
      <c r="O104" s="0" t="str">
        <f aca="false">IF(AND($J104="Плановые",OR(Главная!$F$6="Все",$B104=Главная!$F$6),OR(Главная!$F$7="Все",$C104=Главная!$F$7)),$L104,"")</f>
        <v/>
      </c>
      <c r="P104" s="0" t="str">
        <f aca="false">IF(J104="Выполнено",ROW(),"")</f>
        <v/>
      </c>
    </row>
    <row r="105" customFormat="false" ht="21.75" hidden="false" customHeight="true" outlineLevel="0" collapsed="false">
      <c r="A105" s="31"/>
      <c r="B105" s="31"/>
      <c r="C105" s="32"/>
      <c r="D105" s="32"/>
      <c r="E105" s="33"/>
      <c r="F105" s="33"/>
      <c r="G105" s="32"/>
      <c r="H105" s="32"/>
      <c r="I105" s="31"/>
      <c r="J105" s="34" t="str">
        <f aca="true">IF(TRIM(A105)="","",IF(D105="Выполнено","Выполнено",IF(OR(C105="Срочно",AND(F105&lt;&gt;"",F105&lt;=TODAY())),"Срочные",IF(OR(D105="Отложено",C105="Низкий",AND(F105&lt;&gt;"",F105&gt;TODAY()+Справочники!$H$2)),"Плановые","Текущие"))))</f>
        <v/>
      </c>
      <c r="K105" s="35" t="str">
        <f aca="true">IF(OR(A105="",D105="Выполнено"),"",IF(F105="",IF(AND(G105&lt;&gt;"",G105&lt;&gt;"Разово"),"↻ "&amp;G105,""),IF(F105&lt;TODAY(),"Просрочено на "&amp;(TODAY()-F105)&amp;" дн.",IF(F105=TODAY(),"Сегодня",IF(F105=TODAY()+1,"Завтра","Через "&amp;(F105-TODAY())&amp;" дн.")))))</f>
        <v/>
      </c>
      <c r="L105" s="0" t="str">
        <f aca="true">IF(J105="","",(IF(AND(F105&lt;&gt;"",F105&lt;TODAY()),0,1)*10000000+IFERROR(MATCH(C105,{"Срочно","Высокий","Средний","Низкий"},0),5)*100000+IF(F105="",99999,F105))*1000+ROW())</f>
        <v/>
      </c>
      <c r="M105" s="0" t="str">
        <f aca="false">IF(AND($J105="Срочные",OR(Главная!$F$6="Все",$B105=Главная!$F$6),OR(Главная!$F$7="Все",$C105=Главная!$F$7)),$L105,"")</f>
        <v/>
      </c>
      <c r="N105" s="0" t="str">
        <f aca="false">IF(AND($J105="Текущие",OR(Главная!$F$6="Все",$B105=Главная!$F$6),OR(Главная!$F$7="Все",$C105=Главная!$F$7)),$L105,"")</f>
        <v/>
      </c>
      <c r="O105" s="0" t="str">
        <f aca="false">IF(AND($J105="Плановые",OR(Главная!$F$6="Все",$B105=Главная!$F$6),OR(Главная!$F$7="Все",$C105=Главная!$F$7)),$L105,"")</f>
        <v/>
      </c>
      <c r="P105" s="0" t="str">
        <f aca="false">IF(J105="Выполнено",ROW(),"")</f>
        <v/>
      </c>
    </row>
    <row r="106" customFormat="false" ht="21.75" hidden="false" customHeight="true" outlineLevel="0" collapsed="false">
      <c r="A106" s="31"/>
      <c r="B106" s="31"/>
      <c r="C106" s="32"/>
      <c r="D106" s="32"/>
      <c r="E106" s="33"/>
      <c r="F106" s="33"/>
      <c r="G106" s="32"/>
      <c r="H106" s="32"/>
      <c r="I106" s="31"/>
      <c r="J106" s="34" t="str">
        <f aca="true">IF(TRIM(A106)="","",IF(D106="Выполнено","Выполнено",IF(OR(C106="Срочно",AND(F106&lt;&gt;"",F106&lt;=TODAY())),"Срочные",IF(OR(D106="Отложено",C106="Низкий",AND(F106&lt;&gt;"",F106&gt;TODAY()+Справочники!$H$2)),"Плановые","Текущие"))))</f>
        <v/>
      </c>
      <c r="K106" s="35" t="str">
        <f aca="true">IF(OR(A106="",D106="Выполнено"),"",IF(F106="",IF(AND(G106&lt;&gt;"",G106&lt;&gt;"Разово"),"↻ "&amp;G106,""),IF(F106&lt;TODAY(),"Просрочено на "&amp;(TODAY()-F106)&amp;" дн.",IF(F106=TODAY(),"Сегодня",IF(F106=TODAY()+1,"Завтра","Через "&amp;(F106-TODAY())&amp;" дн.")))))</f>
        <v/>
      </c>
      <c r="L106" s="0" t="str">
        <f aca="true">IF(J106="","",(IF(AND(F106&lt;&gt;"",F106&lt;TODAY()),0,1)*10000000+IFERROR(MATCH(C106,{"Срочно","Высокий","Средний","Низкий"},0),5)*100000+IF(F106="",99999,F106))*1000+ROW())</f>
        <v/>
      </c>
      <c r="M106" s="0" t="str">
        <f aca="false">IF(AND($J106="Срочные",OR(Главная!$F$6="Все",$B106=Главная!$F$6),OR(Главная!$F$7="Все",$C106=Главная!$F$7)),$L106,"")</f>
        <v/>
      </c>
      <c r="N106" s="0" t="str">
        <f aca="false">IF(AND($J106="Текущие",OR(Главная!$F$6="Все",$B106=Главная!$F$6),OR(Главная!$F$7="Все",$C106=Главная!$F$7)),$L106,"")</f>
        <v/>
      </c>
      <c r="O106" s="0" t="str">
        <f aca="false">IF(AND($J106="Плановые",OR(Главная!$F$6="Все",$B106=Главная!$F$6),OR(Главная!$F$7="Все",$C106=Главная!$F$7)),$L106,"")</f>
        <v/>
      </c>
      <c r="P106" s="0" t="str">
        <f aca="false">IF(J106="Выполнено",ROW(),"")</f>
        <v/>
      </c>
    </row>
    <row r="107" customFormat="false" ht="21.75" hidden="false" customHeight="true" outlineLevel="0" collapsed="false">
      <c r="A107" s="31"/>
      <c r="B107" s="31"/>
      <c r="C107" s="32"/>
      <c r="D107" s="32"/>
      <c r="E107" s="33"/>
      <c r="F107" s="33"/>
      <c r="G107" s="32"/>
      <c r="H107" s="32"/>
      <c r="I107" s="31"/>
      <c r="J107" s="34" t="str">
        <f aca="true">IF(TRIM(A107)="","",IF(D107="Выполнено","Выполнено",IF(OR(C107="Срочно",AND(F107&lt;&gt;"",F107&lt;=TODAY())),"Срочные",IF(OR(D107="Отложено",C107="Низкий",AND(F107&lt;&gt;"",F107&gt;TODAY()+Справочники!$H$2)),"Плановые","Текущие"))))</f>
        <v/>
      </c>
      <c r="K107" s="35" t="str">
        <f aca="true">IF(OR(A107="",D107="Выполнено"),"",IF(F107="",IF(AND(G107&lt;&gt;"",G107&lt;&gt;"Разово"),"↻ "&amp;G107,""),IF(F107&lt;TODAY(),"Просрочено на "&amp;(TODAY()-F107)&amp;" дн.",IF(F107=TODAY(),"Сегодня",IF(F107=TODAY()+1,"Завтра","Через "&amp;(F107-TODAY())&amp;" дн.")))))</f>
        <v/>
      </c>
      <c r="L107" s="0" t="str">
        <f aca="true">IF(J107="","",(IF(AND(F107&lt;&gt;"",F107&lt;TODAY()),0,1)*10000000+IFERROR(MATCH(C107,{"Срочно","Высокий","Средний","Низкий"},0),5)*100000+IF(F107="",99999,F107))*1000+ROW())</f>
        <v/>
      </c>
      <c r="M107" s="0" t="str">
        <f aca="false">IF(AND($J107="Срочные",OR(Главная!$F$6="Все",$B107=Главная!$F$6),OR(Главная!$F$7="Все",$C107=Главная!$F$7)),$L107,"")</f>
        <v/>
      </c>
      <c r="N107" s="0" t="str">
        <f aca="false">IF(AND($J107="Текущие",OR(Главная!$F$6="Все",$B107=Главная!$F$6),OR(Главная!$F$7="Все",$C107=Главная!$F$7)),$L107,"")</f>
        <v/>
      </c>
      <c r="O107" s="0" t="str">
        <f aca="false">IF(AND($J107="Плановые",OR(Главная!$F$6="Все",$B107=Главная!$F$6),OR(Главная!$F$7="Все",$C107=Главная!$F$7)),$L107,"")</f>
        <v/>
      </c>
      <c r="P107" s="0" t="str">
        <f aca="false">IF(J107="Выполнено",ROW(),"")</f>
        <v/>
      </c>
    </row>
    <row r="108" customFormat="false" ht="21.75" hidden="false" customHeight="true" outlineLevel="0" collapsed="false">
      <c r="A108" s="31"/>
      <c r="B108" s="31"/>
      <c r="C108" s="32"/>
      <c r="D108" s="32"/>
      <c r="E108" s="33"/>
      <c r="F108" s="33"/>
      <c r="G108" s="32"/>
      <c r="H108" s="32"/>
      <c r="I108" s="31"/>
      <c r="J108" s="34" t="str">
        <f aca="true">IF(TRIM(A108)="","",IF(D108="Выполнено","Выполнено",IF(OR(C108="Срочно",AND(F108&lt;&gt;"",F108&lt;=TODAY())),"Срочные",IF(OR(D108="Отложено",C108="Низкий",AND(F108&lt;&gt;"",F108&gt;TODAY()+Справочники!$H$2)),"Плановые","Текущие"))))</f>
        <v/>
      </c>
      <c r="K108" s="35" t="str">
        <f aca="true">IF(OR(A108="",D108="Выполнено"),"",IF(F108="",IF(AND(G108&lt;&gt;"",G108&lt;&gt;"Разово"),"↻ "&amp;G108,""),IF(F108&lt;TODAY(),"Просрочено на "&amp;(TODAY()-F108)&amp;" дн.",IF(F108=TODAY(),"Сегодня",IF(F108=TODAY()+1,"Завтра","Через "&amp;(F108-TODAY())&amp;" дн.")))))</f>
        <v/>
      </c>
      <c r="L108" s="0" t="str">
        <f aca="true">IF(J108="","",(IF(AND(F108&lt;&gt;"",F108&lt;TODAY()),0,1)*10000000+IFERROR(MATCH(C108,{"Срочно","Высокий","Средний","Низкий"},0),5)*100000+IF(F108="",99999,F108))*1000+ROW())</f>
        <v/>
      </c>
      <c r="M108" s="0" t="str">
        <f aca="false">IF(AND($J108="Срочные",OR(Главная!$F$6="Все",$B108=Главная!$F$6),OR(Главная!$F$7="Все",$C108=Главная!$F$7)),$L108,"")</f>
        <v/>
      </c>
      <c r="N108" s="0" t="str">
        <f aca="false">IF(AND($J108="Текущие",OR(Главная!$F$6="Все",$B108=Главная!$F$6),OR(Главная!$F$7="Все",$C108=Главная!$F$7)),$L108,"")</f>
        <v/>
      </c>
      <c r="O108" s="0" t="str">
        <f aca="false">IF(AND($J108="Плановые",OR(Главная!$F$6="Все",$B108=Главная!$F$6),OR(Главная!$F$7="Все",$C108=Главная!$F$7)),$L108,"")</f>
        <v/>
      </c>
      <c r="P108" s="0" t="str">
        <f aca="false">IF(J108="Выполнено",ROW(),"")</f>
        <v/>
      </c>
    </row>
    <row r="109" customFormat="false" ht="21.75" hidden="false" customHeight="true" outlineLevel="0" collapsed="false">
      <c r="A109" s="31"/>
      <c r="B109" s="31"/>
      <c r="C109" s="32"/>
      <c r="D109" s="32"/>
      <c r="E109" s="33"/>
      <c r="F109" s="33"/>
      <c r="G109" s="32"/>
      <c r="H109" s="32"/>
      <c r="I109" s="31"/>
      <c r="J109" s="34" t="str">
        <f aca="true">IF(TRIM(A109)="","",IF(D109="Выполнено","Выполнено",IF(OR(C109="Срочно",AND(F109&lt;&gt;"",F109&lt;=TODAY())),"Срочные",IF(OR(D109="Отложено",C109="Низкий",AND(F109&lt;&gt;"",F109&gt;TODAY()+Справочники!$H$2)),"Плановые","Текущие"))))</f>
        <v/>
      </c>
      <c r="K109" s="35" t="str">
        <f aca="true">IF(OR(A109="",D109="Выполнено"),"",IF(F109="",IF(AND(G109&lt;&gt;"",G109&lt;&gt;"Разово"),"↻ "&amp;G109,""),IF(F109&lt;TODAY(),"Просрочено на "&amp;(TODAY()-F109)&amp;" дн.",IF(F109=TODAY(),"Сегодня",IF(F109=TODAY()+1,"Завтра","Через "&amp;(F109-TODAY())&amp;" дн.")))))</f>
        <v/>
      </c>
      <c r="L109" s="0" t="str">
        <f aca="true">IF(J109="","",(IF(AND(F109&lt;&gt;"",F109&lt;TODAY()),0,1)*10000000+IFERROR(MATCH(C109,{"Срочно","Высокий","Средний","Низкий"},0),5)*100000+IF(F109="",99999,F109))*1000+ROW())</f>
        <v/>
      </c>
      <c r="M109" s="0" t="str">
        <f aca="false">IF(AND($J109="Срочные",OR(Главная!$F$6="Все",$B109=Главная!$F$6),OR(Главная!$F$7="Все",$C109=Главная!$F$7)),$L109,"")</f>
        <v/>
      </c>
      <c r="N109" s="0" t="str">
        <f aca="false">IF(AND($J109="Текущие",OR(Главная!$F$6="Все",$B109=Главная!$F$6),OR(Главная!$F$7="Все",$C109=Главная!$F$7)),$L109,"")</f>
        <v/>
      </c>
      <c r="O109" s="0" t="str">
        <f aca="false">IF(AND($J109="Плановые",OR(Главная!$F$6="Все",$B109=Главная!$F$6),OR(Главная!$F$7="Все",$C109=Главная!$F$7)),$L109,"")</f>
        <v/>
      </c>
      <c r="P109" s="0" t="str">
        <f aca="false">IF(J109="Выполнено",ROW(),"")</f>
        <v/>
      </c>
    </row>
    <row r="110" customFormat="false" ht="21.75" hidden="false" customHeight="true" outlineLevel="0" collapsed="false">
      <c r="A110" s="31"/>
      <c r="B110" s="31"/>
      <c r="C110" s="32"/>
      <c r="D110" s="32"/>
      <c r="E110" s="33"/>
      <c r="F110" s="33"/>
      <c r="G110" s="32"/>
      <c r="H110" s="32"/>
      <c r="I110" s="31"/>
      <c r="J110" s="34" t="str">
        <f aca="true">IF(TRIM(A110)="","",IF(D110="Выполнено","Выполнено",IF(OR(C110="Срочно",AND(F110&lt;&gt;"",F110&lt;=TODAY())),"Срочные",IF(OR(D110="Отложено",C110="Низкий",AND(F110&lt;&gt;"",F110&gt;TODAY()+Справочники!$H$2)),"Плановые","Текущие"))))</f>
        <v/>
      </c>
      <c r="K110" s="35" t="str">
        <f aca="true">IF(OR(A110="",D110="Выполнено"),"",IF(F110="",IF(AND(G110&lt;&gt;"",G110&lt;&gt;"Разово"),"↻ "&amp;G110,""),IF(F110&lt;TODAY(),"Просрочено на "&amp;(TODAY()-F110)&amp;" дн.",IF(F110=TODAY(),"Сегодня",IF(F110=TODAY()+1,"Завтра","Через "&amp;(F110-TODAY())&amp;" дн.")))))</f>
        <v/>
      </c>
      <c r="L110" s="0" t="str">
        <f aca="true">IF(J110="","",(IF(AND(F110&lt;&gt;"",F110&lt;TODAY()),0,1)*10000000+IFERROR(MATCH(C110,{"Срочно","Высокий","Средний","Низкий"},0),5)*100000+IF(F110="",99999,F110))*1000+ROW())</f>
        <v/>
      </c>
      <c r="M110" s="0" t="str">
        <f aca="false">IF(AND($J110="Срочные",OR(Главная!$F$6="Все",$B110=Главная!$F$6),OR(Главная!$F$7="Все",$C110=Главная!$F$7)),$L110,"")</f>
        <v/>
      </c>
      <c r="N110" s="0" t="str">
        <f aca="false">IF(AND($J110="Текущие",OR(Главная!$F$6="Все",$B110=Главная!$F$6),OR(Главная!$F$7="Все",$C110=Главная!$F$7)),$L110,"")</f>
        <v/>
      </c>
      <c r="O110" s="0" t="str">
        <f aca="false">IF(AND($J110="Плановые",OR(Главная!$F$6="Все",$B110=Главная!$F$6),OR(Главная!$F$7="Все",$C110=Главная!$F$7)),$L110,"")</f>
        <v/>
      </c>
      <c r="P110" s="0" t="str">
        <f aca="false">IF(J110="Выполнено",ROW(),"")</f>
        <v/>
      </c>
    </row>
    <row r="111" customFormat="false" ht="21.75" hidden="false" customHeight="true" outlineLevel="0" collapsed="false">
      <c r="A111" s="31"/>
      <c r="B111" s="31"/>
      <c r="C111" s="32"/>
      <c r="D111" s="32"/>
      <c r="E111" s="33"/>
      <c r="F111" s="33"/>
      <c r="G111" s="32"/>
      <c r="H111" s="32"/>
      <c r="I111" s="31"/>
      <c r="J111" s="34" t="str">
        <f aca="true">IF(TRIM(A111)="","",IF(D111="Выполнено","Выполнено",IF(OR(C111="Срочно",AND(F111&lt;&gt;"",F111&lt;=TODAY())),"Срочные",IF(OR(D111="Отложено",C111="Низкий",AND(F111&lt;&gt;"",F111&gt;TODAY()+Справочники!$H$2)),"Плановые","Текущие"))))</f>
        <v/>
      </c>
      <c r="K111" s="35" t="str">
        <f aca="true">IF(OR(A111="",D111="Выполнено"),"",IF(F111="",IF(AND(G111&lt;&gt;"",G111&lt;&gt;"Разово"),"↻ "&amp;G111,""),IF(F111&lt;TODAY(),"Просрочено на "&amp;(TODAY()-F111)&amp;" дн.",IF(F111=TODAY(),"Сегодня",IF(F111=TODAY()+1,"Завтра","Через "&amp;(F111-TODAY())&amp;" дн.")))))</f>
        <v/>
      </c>
      <c r="L111" s="0" t="str">
        <f aca="true">IF(J111="","",(IF(AND(F111&lt;&gt;"",F111&lt;TODAY()),0,1)*10000000+IFERROR(MATCH(C111,{"Срочно","Высокий","Средний","Низкий"},0),5)*100000+IF(F111="",99999,F111))*1000+ROW())</f>
        <v/>
      </c>
      <c r="M111" s="0" t="str">
        <f aca="false">IF(AND($J111="Срочные",OR(Главная!$F$6="Все",$B111=Главная!$F$6),OR(Главная!$F$7="Все",$C111=Главная!$F$7)),$L111,"")</f>
        <v/>
      </c>
      <c r="N111" s="0" t="str">
        <f aca="false">IF(AND($J111="Текущие",OR(Главная!$F$6="Все",$B111=Главная!$F$6),OR(Главная!$F$7="Все",$C111=Главная!$F$7)),$L111,"")</f>
        <v/>
      </c>
      <c r="O111" s="0" t="str">
        <f aca="false">IF(AND($J111="Плановые",OR(Главная!$F$6="Все",$B111=Главная!$F$6),OR(Главная!$F$7="Все",$C111=Главная!$F$7)),$L111,"")</f>
        <v/>
      </c>
      <c r="P111" s="0" t="str">
        <f aca="false">IF(J111="Выполнено",ROW(),"")</f>
        <v/>
      </c>
    </row>
    <row r="112" customFormat="false" ht="21.75" hidden="false" customHeight="true" outlineLevel="0" collapsed="false">
      <c r="A112" s="31"/>
      <c r="B112" s="31"/>
      <c r="C112" s="32"/>
      <c r="D112" s="32"/>
      <c r="E112" s="33"/>
      <c r="F112" s="33"/>
      <c r="G112" s="32"/>
      <c r="H112" s="32"/>
      <c r="I112" s="31"/>
      <c r="J112" s="34" t="str">
        <f aca="true">IF(TRIM(A112)="","",IF(D112="Выполнено","Выполнено",IF(OR(C112="Срочно",AND(F112&lt;&gt;"",F112&lt;=TODAY())),"Срочные",IF(OR(D112="Отложено",C112="Низкий",AND(F112&lt;&gt;"",F112&gt;TODAY()+Справочники!$H$2)),"Плановые","Текущие"))))</f>
        <v/>
      </c>
      <c r="K112" s="35" t="str">
        <f aca="true">IF(OR(A112="",D112="Выполнено"),"",IF(F112="",IF(AND(G112&lt;&gt;"",G112&lt;&gt;"Разово"),"↻ "&amp;G112,""),IF(F112&lt;TODAY(),"Просрочено на "&amp;(TODAY()-F112)&amp;" дн.",IF(F112=TODAY(),"Сегодня",IF(F112=TODAY()+1,"Завтра","Через "&amp;(F112-TODAY())&amp;" дн.")))))</f>
        <v/>
      </c>
      <c r="L112" s="0" t="str">
        <f aca="true">IF(J112="","",(IF(AND(F112&lt;&gt;"",F112&lt;TODAY()),0,1)*10000000+IFERROR(MATCH(C112,{"Срочно","Высокий","Средний","Низкий"},0),5)*100000+IF(F112="",99999,F112))*1000+ROW())</f>
        <v/>
      </c>
      <c r="M112" s="0" t="str">
        <f aca="false">IF(AND($J112="Срочные",OR(Главная!$F$6="Все",$B112=Главная!$F$6),OR(Главная!$F$7="Все",$C112=Главная!$F$7)),$L112,"")</f>
        <v/>
      </c>
      <c r="N112" s="0" t="str">
        <f aca="false">IF(AND($J112="Текущие",OR(Главная!$F$6="Все",$B112=Главная!$F$6),OR(Главная!$F$7="Все",$C112=Главная!$F$7)),$L112,"")</f>
        <v/>
      </c>
      <c r="O112" s="0" t="str">
        <f aca="false">IF(AND($J112="Плановые",OR(Главная!$F$6="Все",$B112=Главная!$F$6),OR(Главная!$F$7="Все",$C112=Главная!$F$7)),$L112,"")</f>
        <v/>
      </c>
      <c r="P112" s="0" t="str">
        <f aca="false">IF(J112="Выполнено",ROW(),"")</f>
        <v/>
      </c>
    </row>
    <row r="113" customFormat="false" ht="21.75" hidden="false" customHeight="true" outlineLevel="0" collapsed="false">
      <c r="A113" s="31"/>
      <c r="B113" s="31"/>
      <c r="C113" s="32"/>
      <c r="D113" s="32"/>
      <c r="E113" s="33"/>
      <c r="F113" s="33"/>
      <c r="G113" s="32"/>
      <c r="H113" s="32"/>
      <c r="I113" s="31"/>
      <c r="J113" s="34" t="str">
        <f aca="true">IF(TRIM(A113)="","",IF(D113="Выполнено","Выполнено",IF(OR(C113="Срочно",AND(F113&lt;&gt;"",F113&lt;=TODAY())),"Срочные",IF(OR(D113="Отложено",C113="Низкий",AND(F113&lt;&gt;"",F113&gt;TODAY()+Справочники!$H$2)),"Плановые","Текущие"))))</f>
        <v/>
      </c>
      <c r="K113" s="35" t="str">
        <f aca="true">IF(OR(A113="",D113="Выполнено"),"",IF(F113="",IF(AND(G113&lt;&gt;"",G113&lt;&gt;"Разово"),"↻ "&amp;G113,""),IF(F113&lt;TODAY(),"Просрочено на "&amp;(TODAY()-F113)&amp;" дн.",IF(F113=TODAY(),"Сегодня",IF(F113=TODAY()+1,"Завтра","Через "&amp;(F113-TODAY())&amp;" дн.")))))</f>
        <v/>
      </c>
      <c r="L113" s="0" t="str">
        <f aca="true">IF(J113="","",(IF(AND(F113&lt;&gt;"",F113&lt;TODAY()),0,1)*10000000+IFERROR(MATCH(C113,{"Срочно","Высокий","Средний","Низкий"},0),5)*100000+IF(F113="",99999,F113))*1000+ROW())</f>
        <v/>
      </c>
      <c r="M113" s="0" t="str">
        <f aca="false">IF(AND($J113="Срочные",OR(Главная!$F$6="Все",$B113=Главная!$F$6),OR(Главная!$F$7="Все",$C113=Главная!$F$7)),$L113,"")</f>
        <v/>
      </c>
      <c r="N113" s="0" t="str">
        <f aca="false">IF(AND($J113="Текущие",OR(Главная!$F$6="Все",$B113=Главная!$F$6),OR(Главная!$F$7="Все",$C113=Главная!$F$7)),$L113,"")</f>
        <v/>
      </c>
      <c r="O113" s="0" t="str">
        <f aca="false">IF(AND($J113="Плановые",OR(Главная!$F$6="Все",$B113=Главная!$F$6),OR(Главная!$F$7="Все",$C113=Главная!$F$7)),$L113,"")</f>
        <v/>
      </c>
      <c r="P113" s="0" t="str">
        <f aca="false">IF(J113="Выполнено",ROW(),"")</f>
        <v/>
      </c>
    </row>
    <row r="114" customFormat="false" ht="21.75" hidden="false" customHeight="true" outlineLevel="0" collapsed="false">
      <c r="A114" s="31"/>
      <c r="B114" s="31"/>
      <c r="C114" s="32"/>
      <c r="D114" s="32"/>
      <c r="E114" s="33"/>
      <c r="F114" s="33"/>
      <c r="G114" s="32"/>
      <c r="H114" s="32"/>
      <c r="I114" s="31"/>
      <c r="J114" s="34" t="str">
        <f aca="true">IF(TRIM(A114)="","",IF(D114="Выполнено","Выполнено",IF(OR(C114="Срочно",AND(F114&lt;&gt;"",F114&lt;=TODAY())),"Срочные",IF(OR(D114="Отложено",C114="Низкий",AND(F114&lt;&gt;"",F114&gt;TODAY()+Справочники!$H$2)),"Плановые","Текущие"))))</f>
        <v/>
      </c>
      <c r="K114" s="35" t="str">
        <f aca="true">IF(OR(A114="",D114="Выполнено"),"",IF(F114="",IF(AND(G114&lt;&gt;"",G114&lt;&gt;"Разово"),"↻ "&amp;G114,""),IF(F114&lt;TODAY(),"Просрочено на "&amp;(TODAY()-F114)&amp;" дн.",IF(F114=TODAY(),"Сегодня",IF(F114=TODAY()+1,"Завтра","Через "&amp;(F114-TODAY())&amp;" дн.")))))</f>
        <v/>
      </c>
      <c r="L114" s="0" t="str">
        <f aca="true">IF(J114="","",(IF(AND(F114&lt;&gt;"",F114&lt;TODAY()),0,1)*10000000+IFERROR(MATCH(C114,{"Срочно","Высокий","Средний","Низкий"},0),5)*100000+IF(F114="",99999,F114))*1000+ROW())</f>
        <v/>
      </c>
      <c r="M114" s="0" t="str">
        <f aca="false">IF(AND($J114="Срочные",OR(Главная!$F$6="Все",$B114=Главная!$F$6),OR(Главная!$F$7="Все",$C114=Главная!$F$7)),$L114,"")</f>
        <v/>
      </c>
      <c r="N114" s="0" t="str">
        <f aca="false">IF(AND($J114="Текущие",OR(Главная!$F$6="Все",$B114=Главная!$F$6),OR(Главная!$F$7="Все",$C114=Главная!$F$7)),$L114,"")</f>
        <v/>
      </c>
      <c r="O114" s="0" t="str">
        <f aca="false">IF(AND($J114="Плановые",OR(Главная!$F$6="Все",$B114=Главная!$F$6),OR(Главная!$F$7="Все",$C114=Главная!$F$7)),$L114,"")</f>
        <v/>
      </c>
      <c r="P114" s="0" t="str">
        <f aca="false">IF(J114="Выполнено",ROW(),"")</f>
        <v/>
      </c>
    </row>
    <row r="115" customFormat="false" ht="21.75" hidden="false" customHeight="true" outlineLevel="0" collapsed="false">
      <c r="A115" s="31"/>
      <c r="B115" s="31"/>
      <c r="C115" s="32"/>
      <c r="D115" s="32"/>
      <c r="E115" s="33"/>
      <c r="F115" s="33"/>
      <c r="G115" s="32"/>
      <c r="H115" s="32"/>
      <c r="I115" s="31"/>
      <c r="J115" s="34" t="str">
        <f aca="true">IF(TRIM(A115)="","",IF(D115="Выполнено","Выполнено",IF(OR(C115="Срочно",AND(F115&lt;&gt;"",F115&lt;=TODAY())),"Срочные",IF(OR(D115="Отложено",C115="Низкий",AND(F115&lt;&gt;"",F115&gt;TODAY()+Справочники!$H$2)),"Плановые","Текущие"))))</f>
        <v/>
      </c>
      <c r="K115" s="35" t="str">
        <f aca="true">IF(OR(A115="",D115="Выполнено"),"",IF(F115="",IF(AND(G115&lt;&gt;"",G115&lt;&gt;"Разово"),"↻ "&amp;G115,""),IF(F115&lt;TODAY(),"Просрочено на "&amp;(TODAY()-F115)&amp;" дн.",IF(F115=TODAY(),"Сегодня",IF(F115=TODAY()+1,"Завтра","Через "&amp;(F115-TODAY())&amp;" дн.")))))</f>
        <v/>
      </c>
      <c r="L115" s="0" t="str">
        <f aca="true">IF(J115="","",(IF(AND(F115&lt;&gt;"",F115&lt;TODAY()),0,1)*10000000+IFERROR(MATCH(C115,{"Срочно","Высокий","Средний","Низкий"},0),5)*100000+IF(F115="",99999,F115))*1000+ROW())</f>
        <v/>
      </c>
      <c r="M115" s="0" t="str">
        <f aca="false">IF(AND($J115="Срочные",OR(Главная!$F$6="Все",$B115=Главная!$F$6),OR(Главная!$F$7="Все",$C115=Главная!$F$7)),$L115,"")</f>
        <v/>
      </c>
      <c r="N115" s="0" t="str">
        <f aca="false">IF(AND($J115="Текущие",OR(Главная!$F$6="Все",$B115=Главная!$F$6),OR(Главная!$F$7="Все",$C115=Главная!$F$7)),$L115,"")</f>
        <v/>
      </c>
      <c r="O115" s="0" t="str">
        <f aca="false">IF(AND($J115="Плановые",OR(Главная!$F$6="Все",$B115=Главная!$F$6),OR(Главная!$F$7="Все",$C115=Главная!$F$7)),$L115,"")</f>
        <v/>
      </c>
      <c r="P115" s="0" t="str">
        <f aca="false">IF(J115="Выполнено",ROW(),"")</f>
        <v/>
      </c>
    </row>
    <row r="116" customFormat="false" ht="21.75" hidden="false" customHeight="true" outlineLevel="0" collapsed="false">
      <c r="A116" s="31"/>
      <c r="B116" s="31"/>
      <c r="C116" s="32"/>
      <c r="D116" s="32"/>
      <c r="E116" s="33"/>
      <c r="F116" s="33"/>
      <c r="G116" s="32"/>
      <c r="H116" s="32"/>
      <c r="I116" s="31"/>
      <c r="J116" s="34" t="str">
        <f aca="true">IF(TRIM(A116)="","",IF(D116="Выполнено","Выполнено",IF(OR(C116="Срочно",AND(F116&lt;&gt;"",F116&lt;=TODAY())),"Срочные",IF(OR(D116="Отложено",C116="Низкий",AND(F116&lt;&gt;"",F116&gt;TODAY()+Справочники!$H$2)),"Плановые","Текущие"))))</f>
        <v/>
      </c>
      <c r="K116" s="35" t="str">
        <f aca="true">IF(OR(A116="",D116="Выполнено"),"",IF(F116="",IF(AND(G116&lt;&gt;"",G116&lt;&gt;"Разово"),"↻ "&amp;G116,""),IF(F116&lt;TODAY(),"Просрочено на "&amp;(TODAY()-F116)&amp;" дн.",IF(F116=TODAY(),"Сегодня",IF(F116=TODAY()+1,"Завтра","Через "&amp;(F116-TODAY())&amp;" дн.")))))</f>
        <v/>
      </c>
      <c r="L116" s="0" t="str">
        <f aca="true">IF(J116="","",(IF(AND(F116&lt;&gt;"",F116&lt;TODAY()),0,1)*10000000+IFERROR(MATCH(C116,{"Срочно","Высокий","Средний","Низкий"},0),5)*100000+IF(F116="",99999,F116))*1000+ROW())</f>
        <v/>
      </c>
      <c r="M116" s="0" t="str">
        <f aca="false">IF(AND($J116="Срочные",OR(Главная!$F$6="Все",$B116=Главная!$F$6),OR(Главная!$F$7="Все",$C116=Главная!$F$7)),$L116,"")</f>
        <v/>
      </c>
      <c r="N116" s="0" t="str">
        <f aca="false">IF(AND($J116="Текущие",OR(Главная!$F$6="Все",$B116=Главная!$F$6),OR(Главная!$F$7="Все",$C116=Главная!$F$7)),$L116,"")</f>
        <v/>
      </c>
      <c r="O116" s="0" t="str">
        <f aca="false">IF(AND($J116="Плановые",OR(Главная!$F$6="Все",$B116=Главная!$F$6),OR(Главная!$F$7="Все",$C116=Главная!$F$7)),$L116,"")</f>
        <v/>
      </c>
      <c r="P116" s="0" t="str">
        <f aca="false">IF(J116="Выполнено",ROW(),"")</f>
        <v/>
      </c>
    </row>
    <row r="117" customFormat="false" ht="21.75" hidden="false" customHeight="true" outlineLevel="0" collapsed="false">
      <c r="A117" s="31"/>
      <c r="B117" s="31"/>
      <c r="C117" s="32"/>
      <c r="D117" s="32"/>
      <c r="E117" s="33"/>
      <c r="F117" s="33"/>
      <c r="G117" s="32"/>
      <c r="H117" s="32"/>
      <c r="I117" s="31"/>
      <c r="J117" s="34" t="str">
        <f aca="true">IF(TRIM(A117)="","",IF(D117="Выполнено","Выполнено",IF(OR(C117="Срочно",AND(F117&lt;&gt;"",F117&lt;=TODAY())),"Срочные",IF(OR(D117="Отложено",C117="Низкий",AND(F117&lt;&gt;"",F117&gt;TODAY()+Справочники!$H$2)),"Плановые","Текущие"))))</f>
        <v/>
      </c>
      <c r="K117" s="35" t="str">
        <f aca="true">IF(OR(A117="",D117="Выполнено"),"",IF(F117="",IF(AND(G117&lt;&gt;"",G117&lt;&gt;"Разово"),"↻ "&amp;G117,""),IF(F117&lt;TODAY(),"Просрочено на "&amp;(TODAY()-F117)&amp;" дн.",IF(F117=TODAY(),"Сегодня",IF(F117=TODAY()+1,"Завтра","Через "&amp;(F117-TODAY())&amp;" дн.")))))</f>
        <v/>
      </c>
      <c r="L117" s="0" t="str">
        <f aca="true">IF(J117="","",(IF(AND(F117&lt;&gt;"",F117&lt;TODAY()),0,1)*10000000+IFERROR(MATCH(C117,{"Срочно","Высокий","Средний","Низкий"},0),5)*100000+IF(F117="",99999,F117))*1000+ROW())</f>
        <v/>
      </c>
      <c r="M117" s="0" t="str">
        <f aca="false">IF(AND($J117="Срочные",OR(Главная!$F$6="Все",$B117=Главная!$F$6),OR(Главная!$F$7="Все",$C117=Главная!$F$7)),$L117,"")</f>
        <v/>
      </c>
      <c r="N117" s="0" t="str">
        <f aca="false">IF(AND($J117="Текущие",OR(Главная!$F$6="Все",$B117=Главная!$F$6),OR(Главная!$F$7="Все",$C117=Главная!$F$7)),$L117,"")</f>
        <v/>
      </c>
      <c r="O117" s="0" t="str">
        <f aca="false">IF(AND($J117="Плановые",OR(Главная!$F$6="Все",$B117=Главная!$F$6),OR(Главная!$F$7="Все",$C117=Главная!$F$7)),$L117,"")</f>
        <v/>
      </c>
      <c r="P117" s="0" t="str">
        <f aca="false">IF(J117="Выполнено",ROW(),"")</f>
        <v/>
      </c>
    </row>
    <row r="118" customFormat="false" ht="21.75" hidden="false" customHeight="true" outlineLevel="0" collapsed="false">
      <c r="A118" s="31"/>
      <c r="B118" s="31"/>
      <c r="C118" s="32"/>
      <c r="D118" s="32"/>
      <c r="E118" s="33"/>
      <c r="F118" s="33"/>
      <c r="G118" s="32"/>
      <c r="H118" s="32"/>
      <c r="I118" s="31"/>
      <c r="J118" s="34" t="str">
        <f aca="true">IF(TRIM(A118)="","",IF(D118="Выполнено","Выполнено",IF(OR(C118="Срочно",AND(F118&lt;&gt;"",F118&lt;=TODAY())),"Срочные",IF(OR(D118="Отложено",C118="Низкий",AND(F118&lt;&gt;"",F118&gt;TODAY()+Справочники!$H$2)),"Плановые","Текущие"))))</f>
        <v/>
      </c>
      <c r="K118" s="35" t="str">
        <f aca="true">IF(OR(A118="",D118="Выполнено"),"",IF(F118="",IF(AND(G118&lt;&gt;"",G118&lt;&gt;"Разово"),"↻ "&amp;G118,""),IF(F118&lt;TODAY(),"Просрочено на "&amp;(TODAY()-F118)&amp;" дн.",IF(F118=TODAY(),"Сегодня",IF(F118=TODAY()+1,"Завтра","Через "&amp;(F118-TODAY())&amp;" дн.")))))</f>
        <v/>
      </c>
      <c r="L118" s="0" t="str">
        <f aca="true">IF(J118="","",(IF(AND(F118&lt;&gt;"",F118&lt;TODAY()),0,1)*10000000+IFERROR(MATCH(C118,{"Срочно","Высокий","Средний","Низкий"},0),5)*100000+IF(F118="",99999,F118))*1000+ROW())</f>
        <v/>
      </c>
      <c r="M118" s="0" t="str">
        <f aca="false">IF(AND($J118="Срочные",OR(Главная!$F$6="Все",$B118=Главная!$F$6),OR(Главная!$F$7="Все",$C118=Главная!$F$7)),$L118,"")</f>
        <v/>
      </c>
      <c r="N118" s="0" t="str">
        <f aca="false">IF(AND($J118="Текущие",OR(Главная!$F$6="Все",$B118=Главная!$F$6),OR(Главная!$F$7="Все",$C118=Главная!$F$7)),$L118,"")</f>
        <v/>
      </c>
      <c r="O118" s="0" t="str">
        <f aca="false">IF(AND($J118="Плановые",OR(Главная!$F$6="Все",$B118=Главная!$F$6),OR(Главная!$F$7="Все",$C118=Главная!$F$7)),$L118,"")</f>
        <v/>
      </c>
      <c r="P118" s="0" t="str">
        <f aca="false">IF(J118="Выполнено",ROW(),"")</f>
        <v/>
      </c>
    </row>
    <row r="119" customFormat="false" ht="21.75" hidden="false" customHeight="true" outlineLevel="0" collapsed="false">
      <c r="A119" s="31"/>
      <c r="B119" s="31"/>
      <c r="C119" s="32"/>
      <c r="D119" s="32"/>
      <c r="E119" s="33"/>
      <c r="F119" s="33"/>
      <c r="G119" s="32"/>
      <c r="H119" s="32"/>
      <c r="I119" s="31"/>
      <c r="J119" s="34" t="str">
        <f aca="true">IF(TRIM(A119)="","",IF(D119="Выполнено","Выполнено",IF(OR(C119="Срочно",AND(F119&lt;&gt;"",F119&lt;=TODAY())),"Срочные",IF(OR(D119="Отложено",C119="Низкий",AND(F119&lt;&gt;"",F119&gt;TODAY()+Справочники!$H$2)),"Плановые","Текущие"))))</f>
        <v/>
      </c>
      <c r="K119" s="35" t="str">
        <f aca="true">IF(OR(A119="",D119="Выполнено"),"",IF(F119="",IF(AND(G119&lt;&gt;"",G119&lt;&gt;"Разово"),"↻ "&amp;G119,""),IF(F119&lt;TODAY(),"Просрочено на "&amp;(TODAY()-F119)&amp;" дн.",IF(F119=TODAY(),"Сегодня",IF(F119=TODAY()+1,"Завтра","Через "&amp;(F119-TODAY())&amp;" дн.")))))</f>
        <v/>
      </c>
      <c r="L119" s="0" t="str">
        <f aca="true">IF(J119="","",(IF(AND(F119&lt;&gt;"",F119&lt;TODAY()),0,1)*10000000+IFERROR(MATCH(C119,{"Срочно","Высокий","Средний","Низкий"},0),5)*100000+IF(F119="",99999,F119))*1000+ROW())</f>
        <v/>
      </c>
      <c r="M119" s="0" t="str">
        <f aca="false">IF(AND($J119="Срочные",OR(Главная!$F$6="Все",$B119=Главная!$F$6),OR(Главная!$F$7="Все",$C119=Главная!$F$7)),$L119,"")</f>
        <v/>
      </c>
      <c r="N119" s="0" t="str">
        <f aca="false">IF(AND($J119="Текущие",OR(Главная!$F$6="Все",$B119=Главная!$F$6),OR(Главная!$F$7="Все",$C119=Главная!$F$7)),$L119,"")</f>
        <v/>
      </c>
      <c r="O119" s="0" t="str">
        <f aca="false">IF(AND($J119="Плановые",OR(Главная!$F$6="Все",$B119=Главная!$F$6),OR(Главная!$F$7="Все",$C119=Главная!$F$7)),$L119,"")</f>
        <v/>
      </c>
      <c r="P119" s="0" t="str">
        <f aca="false">IF(J119="Выполнено",ROW(),"")</f>
        <v/>
      </c>
    </row>
    <row r="120" customFormat="false" ht="21.75" hidden="false" customHeight="true" outlineLevel="0" collapsed="false">
      <c r="A120" s="31"/>
      <c r="B120" s="31"/>
      <c r="C120" s="32"/>
      <c r="D120" s="32"/>
      <c r="E120" s="33"/>
      <c r="F120" s="33"/>
      <c r="G120" s="32"/>
      <c r="H120" s="32"/>
      <c r="I120" s="31"/>
      <c r="J120" s="34" t="str">
        <f aca="true">IF(TRIM(A120)="","",IF(D120="Выполнено","Выполнено",IF(OR(C120="Срочно",AND(F120&lt;&gt;"",F120&lt;=TODAY())),"Срочные",IF(OR(D120="Отложено",C120="Низкий",AND(F120&lt;&gt;"",F120&gt;TODAY()+Справочники!$H$2)),"Плановые","Текущие"))))</f>
        <v/>
      </c>
      <c r="K120" s="35" t="str">
        <f aca="true">IF(OR(A120="",D120="Выполнено"),"",IF(F120="",IF(AND(G120&lt;&gt;"",G120&lt;&gt;"Разово"),"↻ "&amp;G120,""),IF(F120&lt;TODAY(),"Просрочено на "&amp;(TODAY()-F120)&amp;" дн.",IF(F120=TODAY(),"Сегодня",IF(F120=TODAY()+1,"Завтра","Через "&amp;(F120-TODAY())&amp;" дн.")))))</f>
        <v/>
      </c>
      <c r="L120" s="0" t="str">
        <f aca="true">IF(J120="","",(IF(AND(F120&lt;&gt;"",F120&lt;TODAY()),0,1)*10000000+IFERROR(MATCH(C120,{"Срочно","Высокий","Средний","Низкий"},0),5)*100000+IF(F120="",99999,F120))*1000+ROW())</f>
        <v/>
      </c>
      <c r="M120" s="0" t="str">
        <f aca="false">IF(AND($J120="Срочные",OR(Главная!$F$6="Все",$B120=Главная!$F$6),OR(Главная!$F$7="Все",$C120=Главная!$F$7)),$L120,"")</f>
        <v/>
      </c>
      <c r="N120" s="0" t="str">
        <f aca="false">IF(AND($J120="Текущие",OR(Главная!$F$6="Все",$B120=Главная!$F$6),OR(Главная!$F$7="Все",$C120=Главная!$F$7)),$L120,"")</f>
        <v/>
      </c>
      <c r="O120" s="0" t="str">
        <f aca="false">IF(AND($J120="Плановые",OR(Главная!$F$6="Все",$B120=Главная!$F$6),OR(Главная!$F$7="Все",$C120=Главная!$F$7)),$L120,"")</f>
        <v/>
      </c>
      <c r="P120" s="0" t="str">
        <f aca="false">IF(J120="Выполнено",ROW(),"")</f>
        <v/>
      </c>
    </row>
    <row r="121" customFormat="false" ht="21.75" hidden="false" customHeight="true" outlineLevel="0" collapsed="false">
      <c r="A121" s="31"/>
      <c r="B121" s="31"/>
      <c r="C121" s="32"/>
      <c r="D121" s="32"/>
      <c r="E121" s="33"/>
      <c r="F121" s="33"/>
      <c r="G121" s="32"/>
      <c r="H121" s="32"/>
      <c r="I121" s="31"/>
      <c r="J121" s="34" t="str">
        <f aca="true">IF(TRIM(A121)="","",IF(D121="Выполнено","Выполнено",IF(OR(C121="Срочно",AND(F121&lt;&gt;"",F121&lt;=TODAY())),"Срочные",IF(OR(D121="Отложено",C121="Низкий",AND(F121&lt;&gt;"",F121&gt;TODAY()+Справочники!$H$2)),"Плановые","Текущие"))))</f>
        <v/>
      </c>
      <c r="K121" s="35" t="str">
        <f aca="true">IF(OR(A121="",D121="Выполнено"),"",IF(F121="",IF(AND(G121&lt;&gt;"",G121&lt;&gt;"Разово"),"↻ "&amp;G121,""),IF(F121&lt;TODAY(),"Просрочено на "&amp;(TODAY()-F121)&amp;" дн.",IF(F121=TODAY(),"Сегодня",IF(F121=TODAY()+1,"Завтра","Через "&amp;(F121-TODAY())&amp;" дн.")))))</f>
        <v/>
      </c>
      <c r="L121" s="0" t="str">
        <f aca="true">IF(J121="","",(IF(AND(F121&lt;&gt;"",F121&lt;TODAY()),0,1)*10000000+IFERROR(MATCH(C121,{"Срочно","Высокий","Средний","Низкий"},0),5)*100000+IF(F121="",99999,F121))*1000+ROW())</f>
        <v/>
      </c>
      <c r="M121" s="0" t="str">
        <f aca="false">IF(AND($J121="Срочные",OR(Главная!$F$6="Все",$B121=Главная!$F$6),OR(Главная!$F$7="Все",$C121=Главная!$F$7)),$L121,"")</f>
        <v/>
      </c>
      <c r="N121" s="0" t="str">
        <f aca="false">IF(AND($J121="Текущие",OR(Главная!$F$6="Все",$B121=Главная!$F$6),OR(Главная!$F$7="Все",$C121=Главная!$F$7)),$L121,"")</f>
        <v/>
      </c>
      <c r="O121" s="0" t="str">
        <f aca="false">IF(AND($J121="Плановые",OR(Главная!$F$6="Все",$B121=Главная!$F$6),OR(Главная!$F$7="Все",$C121=Главная!$F$7)),$L121,"")</f>
        <v/>
      </c>
      <c r="P121" s="0" t="str">
        <f aca="false">IF(J121="Выполнено",ROW(),"")</f>
        <v/>
      </c>
    </row>
    <row r="122" customFormat="false" ht="21.75" hidden="false" customHeight="true" outlineLevel="0" collapsed="false">
      <c r="A122" s="31"/>
      <c r="B122" s="31"/>
      <c r="C122" s="32"/>
      <c r="D122" s="32"/>
      <c r="E122" s="33"/>
      <c r="F122" s="33"/>
      <c r="G122" s="32"/>
      <c r="H122" s="32"/>
      <c r="I122" s="31"/>
      <c r="J122" s="34" t="str">
        <f aca="true">IF(TRIM(A122)="","",IF(D122="Выполнено","Выполнено",IF(OR(C122="Срочно",AND(F122&lt;&gt;"",F122&lt;=TODAY())),"Срочные",IF(OR(D122="Отложено",C122="Низкий",AND(F122&lt;&gt;"",F122&gt;TODAY()+Справочники!$H$2)),"Плановые","Текущие"))))</f>
        <v/>
      </c>
      <c r="K122" s="35" t="str">
        <f aca="true">IF(OR(A122="",D122="Выполнено"),"",IF(F122="",IF(AND(G122&lt;&gt;"",G122&lt;&gt;"Разово"),"↻ "&amp;G122,""),IF(F122&lt;TODAY(),"Просрочено на "&amp;(TODAY()-F122)&amp;" дн.",IF(F122=TODAY(),"Сегодня",IF(F122=TODAY()+1,"Завтра","Через "&amp;(F122-TODAY())&amp;" дн.")))))</f>
        <v/>
      </c>
      <c r="L122" s="0" t="str">
        <f aca="true">IF(J122="","",(IF(AND(F122&lt;&gt;"",F122&lt;TODAY()),0,1)*10000000+IFERROR(MATCH(C122,{"Срочно","Высокий","Средний","Низкий"},0),5)*100000+IF(F122="",99999,F122))*1000+ROW())</f>
        <v/>
      </c>
      <c r="M122" s="0" t="str">
        <f aca="false">IF(AND($J122="Срочные",OR(Главная!$F$6="Все",$B122=Главная!$F$6),OR(Главная!$F$7="Все",$C122=Главная!$F$7)),$L122,"")</f>
        <v/>
      </c>
      <c r="N122" s="0" t="str">
        <f aca="false">IF(AND($J122="Текущие",OR(Главная!$F$6="Все",$B122=Главная!$F$6),OR(Главная!$F$7="Все",$C122=Главная!$F$7)),$L122,"")</f>
        <v/>
      </c>
      <c r="O122" s="0" t="str">
        <f aca="false">IF(AND($J122="Плановые",OR(Главная!$F$6="Все",$B122=Главная!$F$6),OR(Главная!$F$7="Все",$C122=Главная!$F$7)),$L122,"")</f>
        <v/>
      </c>
      <c r="P122" s="0" t="str">
        <f aca="false">IF(J122="Выполнено",ROW(),"")</f>
        <v/>
      </c>
    </row>
    <row r="123" customFormat="false" ht="21.75" hidden="false" customHeight="true" outlineLevel="0" collapsed="false">
      <c r="A123" s="31"/>
      <c r="B123" s="31"/>
      <c r="C123" s="32"/>
      <c r="D123" s="32"/>
      <c r="E123" s="33"/>
      <c r="F123" s="33"/>
      <c r="G123" s="32"/>
      <c r="H123" s="32"/>
      <c r="I123" s="31"/>
      <c r="J123" s="34" t="str">
        <f aca="true">IF(TRIM(A123)="","",IF(D123="Выполнено","Выполнено",IF(OR(C123="Срочно",AND(F123&lt;&gt;"",F123&lt;=TODAY())),"Срочные",IF(OR(D123="Отложено",C123="Низкий",AND(F123&lt;&gt;"",F123&gt;TODAY()+Справочники!$H$2)),"Плановые","Текущие"))))</f>
        <v/>
      </c>
      <c r="K123" s="35" t="str">
        <f aca="true">IF(OR(A123="",D123="Выполнено"),"",IF(F123="",IF(AND(G123&lt;&gt;"",G123&lt;&gt;"Разово"),"↻ "&amp;G123,""),IF(F123&lt;TODAY(),"Просрочено на "&amp;(TODAY()-F123)&amp;" дн.",IF(F123=TODAY(),"Сегодня",IF(F123=TODAY()+1,"Завтра","Через "&amp;(F123-TODAY())&amp;" дн.")))))</f>
        <v/>
      </c>
      <c r="L123" s="0" t="str">
        <f aca="true">IF(J123="","",(IF(AND(F123&lt;&gt;"",F123&lt;TODAY()),0,1)*10000000+IFERROR(MATCH(C123,{"Срочно","Высокий","Средний","Низкий"},0),5)*100000+IF(F123="",99999,F123))*1000+ROW())</f>
        <v/>
      </c>
      <c r="M123" s="0" t="str">
        <f aca="false">IF(AND($J123="Срочные",OR(Главная!$F$6="Все",$B123=Главная!$F$6),OR(Главная!$F$7="Все",$C123=Главная!$F$7)),$L123,"")</f>
        <v/>
      </c>
      <c r="N123" s="0" t="str">
        <f aca="false">IF(AND($J123="Текущие",OR(Главная!$F$6="Все",$B123=Главная!$F$6),OR(Главная!$F$7="Все",$C123=Главная!$F$7)),$L123,"")</f>
        <v/>
      </c>
      <c r="O123" s="0" t="str">
        <f aca="false">IF(AND($J123="Плановые",OR(Главная!$F$6="Все",$B123=Главная!$F$6),OR(Главная!$F$7="Все",$C123=Главная!$F$7)),$L123,"")</f>
        <v/>
      </c>
      <c r="P123" s="0" t="str">
        <f aca="false">IF(J123="Выполнено",ROW(),"")</f>
        <v/>
      </c>
    </row>
    <row r="124" customFormat="false" ht="21.75" hidden="false" customHeight="true" outlineLevel="0" collapsed="false">
      <c r="A124" s="31"/>
      <c r="B124" s="31"/>
      <c r="C124" s="32"/>
      <c r="D124" s="32"/>
      <c r="E124" s="33"/>
      <c r="F124" s="33"/>
      <c r="G124" s="32"/>
      <c r="H124" s="32"/>
      <c r="I124" s="31"/>
      <c r="J124" s="34" t="str">
        <f aca="true">IF(TRIM(A124)="","",IF(D124="Выполнено","Выполнено",IF(OR(C124="Срочно",AND(F124&lt;&gt;"",F124&lt;=TODAY())),"Срочные",IF(OR(D124="Отложено",C124="Низкий",AND(F124&lt;&gt;"",F124&gt;TODAY()+Справочники!$H$2)),"Плановые","Текущие"))))</f>
        <v/>
      </c>
      <c r="K124" s="35" t="str">
        <f aca="true">IF(OR(A124="",D124="Выполнено"),"",IF(F124="",IF(AND(G124&lt;&gt;"",G124&lt;&gt;"Разово"),"↻ "&amp;G124,""),IF(F124&lt;TODAY(),"Просрочено на "&amp;(TODAY()-F124)&amp;" дн.",IF(F124=TODAY(),"Сегодня",IF(F124=TODAY()+1,"Завтра","Через "&amp;(F124-TODAY())&amp;" дн.")))))</f>
        <v/>
      </c>
      <c r="L124" s="0" t="str">
        <f aca="true">IF(J124="","",(IF(AND(F124&lt;&gt;"",F124&lt;TODAY()),0,1)*10000000+IFERROR(MATCH(C124,{"Срочно","Высокий","Средний","Низкий"},0),5)*100000+IF(F124="",99999,F124))*1000+ROW())</f>
        <v/>
      </c>
      <c r="M124" s="0" t="str">
        <f aca="false">IF(AND($J124="Срочные",OR(Главная!$F$6="Все",$B124=Главная!$F$6),OR(Главная!$F$7="Все",$C124=Главная!$F$7)),$L124,"")</f>
        <v/>
      </c>
      <c r="N124" s="0" t="str">
        <f aca="false">IF(AND($J124="Текущие",OR(Главная!$F$6="Все",$B124=Главная!$F$6),OR(Главная!$F$7="Все",$C124=Главная!$F$7)),$L124,"")</f>
        <v/>
      </c>
      <c r="O124" s="0" t="str">
        <f aca="false">IF(AND($J124="Плановые",OR(Главная!$F$6="Все",$B124=Главная!$F$6),OR(Главная!$F$7="Все",$C124=Главная!$F$7)),$L124,"")</f>
        <v/>
      </c>
      <c r="P124" s="0" t="str">
        <f aca="false">IF(J124="Выполнено",ROW(),"")</f>
        <v/>
      </c>
    </row>
    <row r="125" customFormat="false" ht="21.75" hidden="false" customHeight="true" outlineLevel="0" collapsed="false">
      <c r="A125" s="31"/>
      <c r="B125" s="31"/>
      <c r="C125" s="32"/>
      <c r="D125" s="32"/>
      <c r="E125" s="33"/>
      <c r="F125" s="33"/>
      <c r="G125" s="32"/>
      <c r="H125" s="32"/>
      <c r="I125" s="31"/>
      <c r="J125" s="34" t="str">
        <f aca="true">IF(TRIM(A125)="","",IF(D125="Выполнено","Выполнено",IF(OR(C125="Срочно",AND(F125&lt;&gt;"",F125&lt;=TODAY())),"Срочные",IF(OR(D125="Отложено",C125="Низкий",AND(F125&lt;&gt;"",F125&gt;TODAY()+Справочники!$H$2)),"Плановые","Текущие"))))</f>
        <v/>
      </c>
      <c r="K125" s="35" t="str">
        <f aca="true">IF(OR(A125="",D125="Выполнено"),"",IF(F125="",IF(AND(G125&lt;&gt;"",G125&lt;&gt;"Разово"),"↻ "&amp;G125,""),IF(F125&lt;TODAY(),"Просрочено на "&amp;(TODAY()-F125)&amp;" дн.",IF(F125=TODAY(),"Сегодня",IF(F125=TODAY()+1,"Завтра","Через "&amp;(F125-TODAY())&amp;" дн.")))))</f>
        <v/>
      </c>
      <c r="L125" s="0" t="str">
        <f aca="true">IF(J125="","",(IF(AND(F125&lt;&gt;"",F125&lt;TODAY()),0,1)*10000000+IFERROR(MATCH(C125,{"Срочно","Высокий","Средний","Низкий"},0),5)*100000+IF(F125="",99999,F125))*1000+ROW())</f>
        <v/>
      </c>
      <c r="M125" s="0" t="str">
        <f aca="false">IF(AND($J125="Срочные",OR(Главная!$F$6="Все",$B125=Главная!$F$6),OR(Главная!$F$7="Все",$C125=Главная!$F$7)),$L125,"")</f>
        <v/>
      </c>
      <c r="N125" s="0" t="str">
        <f aca="false">IF(AND($J125="Текущие",OR(Главная!$F$6="Все",$B125=Главная!$F$6),OR(Главная!$F$7="Все",$C125=Главная!$F$7)),$L125,"")</f>
        <v/>
      </c>
      <c r="O125" s="0" t="str">
        <f aca="false">IF(AND($J125="Плановые",OR(Главная!$F$6="Все",$B125=Главная!$F$6),OR(Главная!$F$7="Все",$C125=Главная!$F$7)),$L125,"")</f>
        <v/>
      </c>
      <c r="P125" s="0" t="str">
        <f aca="false">IF(J125="Выполнено",ROW(),"")</f>
        <v/>
      </c>
    </row>
    <row r="126" customFormat="false" ht="21.75" hidden="false" customHeight="true" outlineLevel="0" collapsed="false">
      <c r="A126" s="31"/>
      <c r="B126" s="31"/>
      <c r="C126" s="32"/>
      <c r="D126" s="32"/>
      <c r="E126" s="33"/>
      <c r="F126" s="33"/>
      <c r="G126" s="32"/>
      <c r="H126" s="32"/>
      <c r="I126" s="31"/>
      <c r="J126" s="34" t="str">
        <f aca="true">IF(TRIM(A126)="","",IF(D126="Выполнено","Выполнено",IF(OR(C126="Срочно",AND(F126&lt;&gt;"",F126&lt;=TODAY())),"Срочные",IF(OR(D126="Отложено",C126="Низкий",AND(F126&lt;&gt;"",F126&gt;TODAY()+Справочники!$H$2)),"Плановые","Текущие"))))</f>
        <v/>
      </c>
      <c r="K126" s="35" t="str">
        <f aca="true">IF(OR(A126="",D126="Выполнено"),"",IF(F126="",IF(AND(G126&lt;&gt;"",G126&lt;&gt;"Разово"),"↻ "&amp;G126,""),IF(F126&lt;TODAY(),"Просрочено на "&amp;(TODAY()-F126)&amp;" дн.",IF(F126=TODAY(),"Сегодня",IF(F126=TODAY()+1,"Завтра","Через "&amp;(F126-TODAY())&amp;" дн.")))))</f>
        <v/>
      </c>
      <c r="L126" s="0" t="str">
        <f aca="true">IF(J126="","",(IF(AND(F126&lt;&gt;"",F126&lt;TODAY()),0,1)*10000000+IFERROR(MATCH(C126,{"Срочно","Высокий","Средний","Низкий"},0),5)*100000+IF(F126="",99999,F126))*1000+ROW())</f>
        <v/>
      </c>
      <c r="M126" s="0" t="str">
        <f aca="false">IF(AND($J126="Срочные",OR(Главная!$F$6="Все",$B126=Главная!$F$6),OR(Главная!$F$7="Все",$C126=Главная!$F$7)),$L126,"")</f>
        <v/>
      </c>
      <c r="N126" s="0" t="str">
        <f aca="false">IF(AND($J126="Текущие",OR(Главная!$F$6="Все",$B126=Главная!$F$6),OR(Главная!$F$7="Все",$C126=Главная!$F$7)),$L126,"")</f>
        <v/>
      </c>
      <c r="O126" s="0" t="str">
        <f aca="false">IF(AND($J126="Плановые",OR(Главная!$F$6="Все",$B126=Главная!$F$6),OR(Главная!$F$7="Все",$C126=Главная!$F$7)),$L126,"")</f>
        <v/>
      </c>
      <c r="P126" s="0" t="str">
        <f aca="false">IF(J126="Выполнено",ROW(),"")</f>
        <v/>
      </c>
    </row>
    <row r="127" customFormat="false" ht="21.75" hidden="false" customHeight="true" outlineLevel="0" collapsed="false">
      <c r="A127" s="31"/>
      <c r="B127" s="31"/>
      <c r="C127" s="32"/>
      <c r="D127" s="32"/>
      <c r="E127" s="33"/>
      <c r="F127" s="33"/>
      <c r="G127" s="32"/>
      <c r="H127" s="32"/>
      <c r="I127" s="31"/>
      <c r="J127" s="34" t="str">
        <f aca="true">IF(TRIM(A127)="","",IF(D127="Выполнено","Выполнено",IF(OR(C127="Срочно",AND(F127&lt;&gt;"",F127&lt;=TODAY())),"Срочные",IF(OR(D127="Отложено",C127="Низкий",AND(F127&lt;&gt;"",F127&gt;TODAY()+Справочники!$H$2)),"Плановые","Текущие"))))</f>
        <v/>
      </c>
      <c r="K127" s="35" t="str">
        <f aca="true">IF(OR(A127="",D127="Выполнено"),"",IF(F127="",IF(AND(G127&lt;&gt;"",G127&lt;&gt;"Разово"),"↻ "&amp;G127,""),IF(F127&lt;TODAY(),"Просрочено на "&amp;(TODAY()-F127)&amp;" дн.",IF(F127=TODAY(),"Сегодня",IF(F127=TODAY()+1,"Завтра","Через "&amp;(F127-TODAY())&amp;" дн.")))))</f>
        <v/>
      </c>
      <c r="L127" s="0" t="str">
        <f aca="true">IF(J127="","",(IF(AND(F127&lt;&gt;"",F127&lt;TODAY()),0,1)*10000000+IFERROR(MATCH(C127,{"Срочно","Высокий","Средний","Низкий"},0),5)*100000+IF(F127="",99999,F127))*1000+ROW())</f>
        <v/>
      </c>
      <c r="M127" s="0" t="str">
        <f aca="false">IF(AND($J127="Срочные",OR(Главная!$F$6="Все",$B127=Главная!$F$6),OR(Главная!$F$7="Все",$C127=Главная!$F$7)),$L127,"")</f>
        <v/>
      </c>
      <c r="N127" s="0" t="str">
        <f aca="false">IF(AND($J127="Текущие",OR(Главная!$F$6="Все",$B127=Главная!$F$6),OR(Главная!$F$7="Все",$C127=Главная!$F$7)),$L127,"")</f>
        <v/>
      </c>
      <c r="O127" s="0" t="str">
        <f aca="false">IF(AND($J127="Плановые",OR(Главная!$F$6="Все",$B127=Главная!$F$6),OR(Главная!$F$7="Все",$C127=Главная!$F$7)),$L127,"")</f>
        <v/>
      </c>
      <c r="P127" s="0" t="str">
        <f aca="false">IF(J127="Выполнено",ROW(),"")</f>
        <v/>
      </c>
    </row>
    <row r="128" customFormat="false" ht="21.75" hidden="false" customHeight="true" outlineLevel="0" collapsed="false">
      <c r="A128" s="31"/>
      <c r="B128" s="31"/>
      <c r="C128" s="32"/>
      <c r="D128" s="32"/>
      <c r="E128" s="33"/>
      <c r="F128" s="33"/>
      <c r="G128" s="32"/>
      <c r="H128" s="32"/>
      <c r="I128" s="31"/>
      <c r="J128" s="34" t="str">
        <f aca="true">IF(TRIM(A128)="","",IF(D128="Выполнено","Выполнено",IF(OR(C128="Срочно",AND(F128&lt;&gt;"",F128&lt;=TODAY())),"Срочные",IF(OR(D128="Отложено",C128="Низкий",AND(F128&lt;&gt;"",F128&gt;TODAY()+Справочники!$H$2)),"Плановые","Текущие"))))</f>
        <v/>
      </c>
      <c r="K128" s="35" t="str">
        <f aca="true">IF(OR(A128="",D128="Выполнено"),"",IF(F128="",IF(AND(G128&lt;&gt;"",G128&lt;&gt;"Разово"),"↻ "&amp;G128,""),IF(F128&lt;TODAY(),"Просрочено на "&amp;(TODAY()-F128)&amp;" дн.",IF(F128=TODAY(),"Сегодня",IF(F128=TODAY()+1,"Завтра","Через "&amp;(F128-TODAY())&amp;" дн.")))))</f>
        <v/>
      </c>
      <c r="L128" s="0" t="str">
        <f aca="true">IF(J128="","",(IF(AND(F128&lt;&gt;"",F128&lt;TODAY()),0,1)*10000000+IFERROR(MATCH(C128,{"Срочно","Высокий","Средний","Низкий"},0),5)*100000+IF(F128="",99999,F128))*1000+ROW())</f>
        <v/>
      </c>
      <c r="M128" s="0" t="str">
        <f aca="false">IF(AND($J128="Срочные",OR(Главная!$F$6="Все",$B128=Главная!$F$6),OR(Главная!$F$7="Все",$C128=Главная!$F$7)),$L128,"")</f>
        <v/>
      </c>
      <c r="N128" s="0" t="str">
        <f aca="false">IF(AND($J128="Текущие",OR(Главная!$F$6="Все",$B128=Главная!$F$6),OR(Главная!$F$7="Все",$C128=Главная!$F$7)),$L128,"")</f>
        <v/>
      </c>
      <c r="O128" s="0" t="str">
        <f aca="false">IF(AND($J128="Плановые",OR(Главная!$F$6="Все",$B128=Главная!$F$6),OR(Главная!$F$7="Все",$C128=Главная!$F$7)),$L128,"")</f>
        <v/>
      </c>
      <c r="P128" s="0" t="str">
        <f aca="false">IF(J128="Выполнено",ROW(),"")</f>
        <v/>
      </c>
    </row>
    <row r="129" customFormat="false" ht="21.75" hidden="false" customHeight="true" outlineLevel="0" collapsed="false">
      <c r="A129" s="31"/>
      <c r="B129" s="31"/>
      <c r="C129" s="32"/>
      <c r="D129" s="32"/>
      <c r="E129" s="33"/>
      <c r="F129" s="33"/>
      <c r="G129" s="32"/>
      <c r="H129" s="32"/>
      <c r="I129" s="31"/>
      <c r="J129" s="34" t="str">
        <f aca="true">IF(TRIM(A129)="","",IF(D129="Выполнено","Выполнено",IF(OR(C129="Срочно",AND(F129&lt;&gt;"",F129&lt;=TODAY())),"Срочные",IF(OR(D129="Отложено",C129="Низкий",AND(F129&lt;&gt;"",F129&gt;TODAY()+Справочники!$H$2)),"Плановые","Текущие"))))</f>
        <v/>
      </c>
      <c r="K129" s="35" t="str">
        <f aca="true">IF(OR(A129="",D129="Выполнено"),"",IF(F129="",IF(AND(G129&lt;&gt;"",G129&lt;&gt;"Разово"),"↻ "&amp;G129,""),IF(F129&lt;TODAY(),"Просрочено на "&amp;(TODAY()-F129)&amp;" дн.",IF(F129=TODAY(),"Сегодня",IF(F129=TODAY()+1,"Завтра","Через "&amp;(F129-TODAY())&amp;" дн.")))))</f>
        <v/>
      </c>
      <c r="L129" s="0" t="str">
        <f aca="true">IF(J129="","",(IF(AND(F129&lt;&gt;"",F129&lt;TODAY()),0,1)*10000000+IFERROR(MATCH(C129,{"Срочно","Высокий","Средний","Низкий"},0),5)*100000+IF(F129="",99999,F129))*1000+ROW())</f>
        <v/>
      </c>
      <c r="M129" s="0" t="str">
        <f aca="false">IF(AND($J129="Срочные",OR(Главная!$F$6="Все",$B129=Главная!$F$6),OR(Главная!$F$7="Все",$C129=Главная!$F$7)),$L129,"")</f>
        <v/>
      </c>
      <c r="N129" s="0" t="str">
        <f aca="false">IF(AND($J129="Текущие",OR(Главная!$F$6="Все",$B129=Главная!$F$6),OR(Главная!$F$7="Все",$C129=Главная!$F$7)),$L129,"")</f>
        <v/>
      </c>
      <c r="O129" s="0" t="str">
        <f aca="false">IF(AND($J129="Плановые",OR(Главная!$F$6="Все",$B129=Главная!$F$6),OR(Главная!$F$7="Все",$C129=Главная!$F$7)),$L129,"")</f>
        <v/>
      </c>
      <c r="P129" s="0" t="str">
        <f aca="false">IF(J129="Выполнено",ROW(),"")</f>
        <v/>
      </c>
    </row>
    <row r="130" customFormat="false" ht="21.75" hidden="false" customHeight="true" outlineLevel="0" collapsed="false">
      <c r="A130" s="31"/>
      <c r="B130" s="31"/>
      <c r="C130" s="32"/>
      <c r="D130" s="32"/>
      <c r="E130" s="33"/>
      <c r="F130" s="33"/>
      <c r="G130" s="32"/>
      <c r="H130" s="32"/>
      <c r="I130" s="31"/>
      <c r="J130" s="34" t="str">
        <f aca="true">IF(TRIM(A130)="","",IF(D130="Выполнено","Выполнено",IF(OR(C130="Срочно",AND(F130&lt;&gt;"",F130&lt;=TODAY())),"Срочные",IF(OR(D130="Отложено",C130="Низкий",AND(F130&lt;&gt;"",F130&gt;TODAY()+Справочники!$H$2)),"Плановые","Текущие"))))</f>
        <v/>
      </c>
      <c r="K130" s="35" t="str">
        <f aca="true">IF(OR(A130="",D130="Выполнено"),"",IF(F130="",IF(AND(G130&lt;&gt;"",G130&lt;&gt;"Разово"),"↻ "&amp;G130,""),IF(F130&lt;TODAY(),"Просрочено на "&amp;(TODAY()-F130)&amp;" дн.",IF(F130=TODAY(),"Сегодня",IF(F130=TODAY()+1,"Завтра","Через "&amp;(F130-TODAY())&amp;" дн.")))))</f>
        <v/>
      </c>
      <c r="L130" s="0" t="str">
        <f aca="true">IF(J130="","",(IF(AND(F130&lt;&gt;"",F130&lt;TODAY()),0,1)*10000000+IFERROR(MATCH(C130,{"Срочно","Высокий","Средний","Низкий"},0),5)*100000+IF(F130="",99999,F130))*1000+ROW())</f>
        <v/>
      </c>
      <c r="M130" s="0" t="str">
        <f aca="false">IF(AND($J130="Срочные",OR(Главная!$F$6="Все",$B130=Главная!$F$6),OR(Главная!$F$7="Все",$C130=Главная!$F$7)),$L130,"")</f>
        <v/>
      </c>
      <c r="N130" s="0" t="str">
        <f aca="false">IF(AND($J130="Текущие",OR(Главная!$F$6="Все",$B130=Главная!$F$6),OR(Главная!$F$7="Все",$C130=Главная!$F$7)),$L130,"")</f>
        <v/>
      </c>
      <c r="O130" s="0" t="str">
        <f aca="false">IF(AND($J130="Плановые",OR(Главная!$F$6="Все",$B130=Главная!$F$6),OR(Главная!$F$7="Все",$C130=Главная!$F$7)),$L130,"")</f>
        <v/>
      </c>
      <c r="P130" s="0" t="str">
        <f aca="false">IF(J130="Выполнено",ROW(),"")</f>
        <v/>
      </c>
    </row>
    <row r="131" customFormat="false" ht="21.75" hidden="false" customHeight="true" outlineLevel="0" collapsed="false">
      <c r="A131" s="31"/>
      <c r="B131" s="31"/>
      <c r="C131" s="32"/>
      <c r="D131" s="32"/>
      <c r="E131" s="33"/>
      <c r="F131" s="33"/>
      <c r="G131" s="32"/>
      <c r="H131" s="32"/>
      <c r="I131" s="31"/>
      <c r="J131" s="34" t="str">
        <f aca="true">IF(TRIM(A131)="","",IF(D131="Выполнено","Выполнено",IF(OR(C131="Срочно",AND(F131&lt;&gt;"",F131&lt;=TODAY())),"Срочные",IF(OR(D131="Отложено",C131="Низкий",AND(F131&lt;&gt;"",F131&gt;TODAY()+Справочники!$H$2)),"Плановые","Текущие"))))</f>
        <v/>
      </c>
      <c r="K131" s="35" t="str">
        <f aca="true">IF(OR(A131="",D131="Выполнено"),"",IF(F131="",IF(AND(G131&lt;&gt;"",G131&lt;&gt;"Разово"),"↻ "&amp;G131,""),IF(F131&lt;TODAY(),"Просрочено на "&amp;(TODAY()-F131)&amp;" дн.",IF(F131=TODAY(),"Сегодня",IF(F131=TODAY()+1,"Завтра","Через "&amp;(F131-TODAY())&amp;" дн.")))))</f>
        <v/>
      </c>
      <c r="L131" s="0" t="str">
        <f aca="true">IF(J131="","",(IF(AND(F131&lt;&gt;"",F131&lt;TODAY()),0,1)*10000000+IFERROR(MATCH(C131,{"Срочно","Высокий","Средний","Низкий"},0),5)*100000+IF(F131="",99999,F131))*1000+ROW())</f>
        <v/>
      </c>
      <c r="M131" s="0" t="str">
        <f aca="false">IF(AND($J131="Срочные",OR(Главная!$F$6="Все",$B131=Главная!$F$6),OR(Главная!$F$7="Все",$C131=Главная!$F$7)),$L131,"")</f>
        <v/>
      </c>
      <c r="N131" s="0" t="str">
        <f aca="false">IF(AND($J131="Текущие",OR(Главная!$F$6="Все",$B131=Главная!$F$6),OR(Главная!$F$7="Все",$C131=Главная!$F$7)),$L131,"")</f>
        <v/>
      </c>
      <c r="O131" s="0" t="str">
        <f aca="false">IF(AND($J131="Плановые",OR(Главная!$F$6="Все",$B131=Главная!$F$6),OR(Главная!$F$7="Все",$C131=Главная!$F$7)),$L131,"")</f>
        <v/>
      </c>
      <c r="P131" s="0" t="str">
        <f aca="false">IF(J131="Выполнено",ROW(),"")</f>
        <v/>
      </c>
    </row>
    <row r="132" customFormat="false" ht="21.75" hidden="false" customHeight="true" outlineLevel="0" collapsed="false">
      <c r="A132" s="31"/>
      <c r="B132" s="31"/>
      <c r="C132" s="32"/>
      <c r="D132" s="32"/>
      <c r="E132" s="33"/>
      <c r="F132" s="33"/>
      <c r="G132" s="32"/>
      <c r="H132" s="32"/>
      <c r="I132" s="31"/>
      <c r="J132" s="34" t="str">
        <f aca="true">IF(TRIM(A132)="","",IF(D132="Выполнено","Выполнено",IF(OR(C132="Срочно",AND(F132&lt;&gt;"",F132&lt;=TODAY())),"Срочные",IF(OR(D132="Отложено",C132="Низкий",AND(F132&lt;&gt;"",F132&gt;TODAY()+Справочники!$H$2)),"Плановые","Текущие"))))</f>
        <v/>
      </c>
      <c r="K132" s="35" t="str">
        <f aca="true">IF(OR(A132="",D132="Выполнено"),"",IF(F132="",IF(AND(G132&lt;&gt;"",G132&lt;&gt;"Разово"),"↻ "&amp;G132,""),IF(F132&lt;TODAY(),"Просрочено на "&amp;(TODAY()-F132)&amp;" дн.",IF(F132=TODAY(),"Сегодня",IF(F132=TODAY()+1,"Завтра","Через "&amp;(F132-TODAY())&amp;" дн.")))))</f>
        <v/>
      </c>
      <c r="L132" s="0" t="str">
        <f aca="true">IF(J132="","",(IF(AND(F132&lt;&gt;"",F132&lt;TODAY()),0,1)*10000000+IFERROR(MATCH(C132,{"Срочно","Высокий","Средний","Низкий"},0),5)*100000+IF(F132="",99999,F132))*1000+ROW())</f>
        <v/>
      </c>
      <c r="M132" s="0" t="str">
        <f aca="false">IF(AND($J132="Срочные",OR(Главная!$F$6="Все",$B132=Главная!$F$6),OR(Главная!$F$7="Все",$C132=Главная!$F$7)),$L132,"")</f>
        <v/>
      </c>
      <c r="N132" s="0" t="str">
        <f aca="false">IF(AND($J132="Текущие",OR(Главная!$F$6="Все",$B132=Главная!$F$6),OR(Главная!$F$7="Все",$C132=Главная!$F$7)),$L132,"")</f>
        <v/>
      </c>
      <c r="O132" s="0" t="str">
        <f aca="false">IF(AND($J132="Плановые",OR(Главная!$F$6="Все",$B132=Главная!$F$6),OR(Главная!$F$7="Все",$C132=Главная!$F$7)),$L132,"")</f>
        <v/>
      </c>
      <c r="P132" s="0" t="str">
        <f aca="false">IF(J132="Выполнено",ROW(),"")</f>
        <v/>
      </c>
    </row>
    <row r="133" customFormat="false" ht="21.75" hidden="false" customHeight="true" outlineLevel="0" collapsed="false">
      <c r="A133" s="31"/>
      <c r="B133" s="31"/>
      <c r="C133" s="32"/>
      <c r="D133" s="32"/>
      <c r="E133" s="33"/>
      <c r="F133" s="33"/>
      <c r="G133" s="32"/>
      <c r="H133" s="32"/>
      <c r="I133" s="31"/>
      <c r="J133" s="34" t="str">
        <f aca="true">IF(TRIM(A133)="","",IF(D133="Выполнено","Выполнено",IF(OR(C133="Срочно",AND(F133&lt;&gt;"",F133&lt;=TODAY())),"Срочные",IF(OR(D133="Отложено",C133="Низкий",AND(F133&lt;&gt;"",F133&gt;TODAY()+Справочники!$H$2)),"Плановые","Текущие"))))</f>
        <v/>
      </c>
      <c r="K133" s="35" t="str">
        <f aca="true">IF(OR(A133="",D133="Выполнено"),"",IF(F133="",IF(AND(G133&lt;&gt;"",G133&lt;&gt;"Разово"),"↻ "&amp;G133,""),IF(F133&lt;TODAY(),"Просрочено на "&amp;(TODAY()-F133)&amp;" дн.",IF(F133=TODAY(),"Сегодня",IF(F133=TODAY()+1,"Завтра","Через "&amp;(F133-TODAY())&amp;" дн.")))))</f>
        <v/>
      </c>
      <c r="L133" s="0" t="str">
        <f aca="true">IF(J133="","",(IF(AND(F133&lt;&gt;"",F133&lt;TODAY()),0,1)*10000000+IFERROR(MATCH(C133,{"Срочно","Высокий","Средний","Низкий"},0),5)*100000+IF(F133="",99999,F133))*1000+ROW())</f>
        <v/>
      </c>
      <c r="M133" s="0" t="str">
        <f aca="false">IF(AND($J133="Срочные",OR(Главная!$F$6="Все",$B133=Главная!$F$6),OR(Главная!$F$7="Все",$C133=Главная!$F$7)),$L133,"")</f>
        <v/>
      </c>
      <c r="N133" s="0" t="str">
        <f aca="false">IF(AND($J133="Текущие",OR(Главная!$F$6="Все",$B133=Главная!$F$6),OR(Главная!$F$7="Все",$C133=Главная!$F$7)),$L133,"")</f>
        <v/>
      </c>
      <c r="O133" s="0" t="str">
        <f aca="false">IF(AND($J133="Плановые",OR(Главная!$F$6="Все",$B133=Главная!$F$6),OR(Главная!$F$7="Все",$C133=Главная!$F$7)),$L133,"")</f>
        <v/>
      </c>
      <c r="P133" s="0" t="str">
        <f aca="false">IF(J133="Выполнено",ROW(),"")</f>
        <v/>
      </c>
    </row>
    <row r="134" customFormat="false" ht="21.75" hidden="false" customHeight="true" outlineLevel="0" collapsed="false">
      <c r="A134" s="31"/>
      <c r="B134" s="31"/>
      <c r="C134" s="32"/>
      <c r="D134" s="32"/>
      <c r="E134" s="33"/>
      <c r="F134" s="33"/>
      <c r="G134" s="32"/>
      <c r="H134" s="32"/>
      <c r="I134" s="31"/>
      <c r="J134" s="34" t="str">
        <f aca="true">IF(TRIM(A134)="","",IF(D134="Выполнено","Выполнено",IF(OR(C134="Срочно",AND(F134&lt;&gt;"",F134&lt;=TODAY())),"Срочные",IF(OR(D134="Отложено",C134="Низкий",AND(F134&lt;&gt;"",F134&gt;TODAY()+Справочники!$H$2)),"Плановые","Текущие"))))</f>
        <v/>
      </c>
      <c r="K134" s="35" t="str">
        <f aca="true">IF(OR(A134="",D134="Выполнено"),"",IF(F134="",IF(AND(G134&lt;&gt;"",G134&lt;&gt;"Разово"),"↻ "&amp;G134,""),IF(F134&lt;TODAY(),"Просрочено на "&amp;(TODAY()-F134)&amp;" дн.",IF(F134=TODAY(),"Сегодня",IF(F134=TODAY()+1,"Завтра","Через "&amp;(F134-TODAY())&amp;" дн.")))))</f>
        <v/>
      </c>
      <c r="L134" s="0" t="str">
        <f aca="true">IF(J134="","",(IF(AND(F134&lt;&gt;"",F134&lt;TODAY()),0,1)*10000000+IFERROR(MATCH(C134,{"Срочно","Высокий","Средний","Низкий"},0),5)*100000+IF(F134="",99999,F134))*1000+ROW())</f>
        <v/>
      </c>
      <c r="M134" s="0" t="str">
        <f aca="false">IF(AND($J134="Срочные",OR(Главная!$F$6="Все",$B134=Главная!$F$6),OR(Главная!$F$7="Все",$C134=Главная!$F$7)),$L134,"")</f>
        <v/>
      </c>
      <c r="N134" s="0" t="str">
        <f aca="false">IF(AND($J134="Текущие",OR(Главная!$F$6="Все",$B134=Главная!$F$6),OR(Главная!$F$7="Все",$C134=Главная!$F$7)),$L134,"")</f>
        <v/>
      </c>
      <c r="O134" s="0" t="str">
        <f aca="false">IF(AND($J134="Плановые",OR(Главная!$F$6="Все",$B134=Главная!$F$6),OR(Главная!$F$7="Все",$C134=Главная!$F$7)),$L134,"")</f>
        <v/>
      </c>
      <c r="P134" s="0" t="str">
        <f aca="false">IF(J134="Выполнено",ROW(),"")</f>
        <v/>
      </c>
    </row>
    <row r="135" customFormat="false" ht="21.75" hidden="false" customHeight="true" outlineLevel="0" collapsed="false">
      <c r="A135" s="31"/>
      <c r="B135" s="31"/>
      <c r="C135" s="32"/>
      <c r="D135" s="32"/>
      <c r="E135" s="33"/>
      <c r="F135" s="33"/>
      <c r="G135" s="32"/>
      <c r="H135" s="32"/>
      <c r="I135" s="31"/>
      <c r="J135" s="34" t="str">
        <f aca="true">IF(TRIM(A135)="","",IF(D135="Выполнено","Выполнено",IF(OR(C135="Срочно",AND(F135&lt;&gt;"",F135&lt;=TODAY())),"Срочные",IF(OR(D135="Отложено",C135="Низкий",AND(F135&lt;&gt;"",F135&gt;TODAY()+Справочники!$H$2)),"Плановые","Текущие"))))</f>
        <v/>
      </c>
      <c r="K135" s="35" t="str">
        <f aca="true">IF(OR(A135="",D135="Выполнено"),"",IF(F135="",IF(AND(G135&lt;&gt;"",G135&lt;&gt;"Разово"),"↻ "&amp;G135,""),IF(F135&lt;TODAY(),"Просрочено на "&amp;(TODAY()-F135)&amp;" дн.",IF(F135=TODAY(),"Сегодня",IF(F135=TODAY()+1,"Завтра","Через "&amp;(F135-TODAY())&amp;" дн.")))))</f>
        <v/>
      </c>
      <c r="L135" s="0" t="str">
        <f aca="true">IF(J135="","",(IF(AND(F135&lt;&gt;"",F135&lt;TODAY()),0,1)*10000000+IFERROR(MATCH(C135,{"Срочно","Высокий","Средний","Низкий"},0),5)*100000+IF(F135="",99999,F135))*1000+ROW())</f>
        <v/>
      </c>
      <c r="M135" s="0" t="str">
        <f aca="false">IF(AND($J135="Срочные",OR(Главная!$F$6="Все",$B135=Главная!$F$6),OR(Главная!$F$7="Все",$C135=Главная!$F$7)),$L135,"")</f>
        <v/>
      </c>
      <c r="N135" s="0" t="str">
        <f aca="false">IF(AND($J135="Текущие",OR(Главная!$F$6="Все",$B135=Главная!$F$6),OR(Главная!$F$7="Все",$C135=Главная!$F$7)),$L135,"")</f>
        <v/>
      </c>
      <c r="O135" s="0" t="str">
        <f aca="false">IF(AND($J135="Плановые",OR(Главная!$F$6="Все",$B135=Главная!$F$6),OR(Главная!$F$7="Все",$C135=Главная!$F$7)),$L135,"")</f>
        <v/>
      </c>
      <c r="P135" s="0" t="str">
        <f aca="false">IF(J135="Выполнено",ROW(),"")</f>
        <v/>
      </c>
    </row>
    <row r="136" customFormat="false" ht="21.75" hidden="false" customHeight="true" outlineLevel="0" collapsed="false">
      <c r="A136" s="31"/>
      <c r="B136" s="31"/>
      <c r="C136" s="32"/>
      <c r="D136" s="32"/>
      <c r="E136" s="33"/>
      <c r="F136" s="33"/>
      <c r="G136" s="32"/>
      <c r="H136" s="32"/>
      <c r="I136" s="31"/>
      <c r="J136" s="34" t="str">
        <f aca="true">IF(TRIM(A136)="","",IF(D136="Выполнено","Выполнено",IF(OR(C136="Срочно",AND(F136&lt;&gt;"",F136&lt;=TODAY())),"Срочные",IF(OR(D136="Отложено",C136="Низкий",AND(F136&lt;&gt;"",F136&gt;TODAY()+Справочники!$H$2)),"Плановые","Текущие"))))</f>
        <v/>
      </c>
      <c r="K136" s="35" t="str">
        <f aca="true">IF(OR(A136="",D136="Выполнено"),"",IF(F136="",IF(AND(G136&lt;&gt;"",G136&lt;&gt;"Разово"),"↻ "&amp;G136,""),IF(F136&lt;TODAY(),"Просрочено на "&amp;(TODAY()-F136)&amp;" дн.",IF(F136=TODAY(),"Сегодня",IF(F136=TODAY()+1,"Завтра","Через "&amp;(F136-TODAY())&amp;" дн.")))))</f>
        <v/>
      </c>
      <c r="L136" s="0" t="str">
        <f aca="true">IF(J136="","",(IF(AND(F136&lt;&gt;"",F136&lt;TODAY()),0,1)*10000000+IFERROR(MATCH(C136,{"Срочно","Высокий","Средний","Низкий"},0),5)*100000+IF(F136="",99999,F136))*1000+ROW())</f>
        <v/>
      </c>
      <c r="M136" s="0" t="str">
        <f aca="false">IF(AND($J136="Срочные",OR(Главная!$F$6="Все",$B136=Главная!$F$6),OR(Главная!$F$7="Все",$C136=Главная!$F$7)),$L136,"")</f>
        <v/>
      </c>
      <c r="N136" s="0" t="str">
        <f aca="false">IF(AND($J136="Текущие",OR(Главная!$F$6="Все",$B136=Главная!$F$6),OR(Главная!$F$7="Все",$C136=Главная!$F$7)),$L136,"")</f>
        <v/>
      </c>
      <c r="O136" s="0" t="str">
        <f aca="false">IF(AND($J136="Плановые",OR(Главная!$F$6="Все",$B136=Главная!$F$6),OR(Главная!$F$7="Все",$C136=Главная!$F$7)),$L136,"")</f>
        <v/>
      </c>
      <c r="P136" s="0" t="str">
        <f aca="false">IF(J136="Выполнено",ROW(),"")</f>
        <v/>
      </c>
    </row>
    <row r="137" customFormat="false" ht="21.75" hidden="false" customHeight="true" outlineLevel="0" collapsed="false">
      <c r="A137" s="31"/>
      <c r="B137" s="31"/>
      <c r="C137" s="32"/>
      <c r="D137" s="32"/>
      <c r="E137" s="33"/>
      <c r="F137" s="33"/>
      <c r="G137" s="32"/>
      <c r="H137" s="32"/>
      <c r="I137" s="31"/>
      <c r="J137" s="34" t="str">
        <f aca="true">IF(TRIM(A137)="","",IF(D137="Выполнено","Выполнено",IF(OR(C137="Срочно",AND(F137&lt;&gt;"",F137&lt;=TODAY())),"Срочные",IF(OR(D137="Отложено",C137="Низкий",AND(F137&lt;&gt;"",F137&gt;TODAY()+Справочники!$H$2)),"Плановые","Текущие"))))</f>
        <v/>
      </c>
      <c r="K137" s="35" t="str">
        <f aca="true">IF(OR(A137="",D137="Выполнено"),"",IF(F137="",IF(AND(G137&lt;&gt;"",G137&lt;&gt;"Разово"),"↻ "&amp;G137,""),IF(F137&lt;TODAY(),"Просрочено на "&amp;(TODAY()-F137)&amp;" дн.",IF(F137=TODAY(),"Сегодня",IF(F137=TODAY()+1,"Завтра","Через "&amp;(F137-TODAY())&amp;" дн.")))))</f>
        <v/>
      </c>
      <c r="L137" s="0" t="str">
        <f aca="true">IF(J137="","",(IF(AND(F137&lt;&gt;"",F137&lt;TODAY()),0,1)*10000000+IFERROR(MATCH(C137,{"Срочно","Высокий","Средний","Низкий"},0),5)*100000+IF(F137="",99999,F137))*1000+ROW())</f>
        <v/>
      </c>
      <c r="M137" s="0" t="str">
        <f aca="false">IF(AND($J137="Срочные",OR(Главная!$F$6="Все",$B137=Главная!$F$6),OR(Главная!$F$7="Все",$C137=Главная!$F$7)),$L137,"")</f>
        <v/>
      </c>
      <c r="N137" s="0" t="str">
        <f aca="false">IF(AND($J137="Текущие",OR(Главная!$F$6="Все",$B137=Главная!$F$6),OR(Главная!$F$7="Все",$C137=Главная!$F$7)),$L137,"")</f>
        <v/>
      </c>
      <c r="O137" s="0" t="str">
        <f aca="false">IF(AND($J137="Плановые",OR(Главная!$F$6="Все",$B137=Главная!$F$6),OR(Главная!$F$7="Все",$C137=Главная!$F$7)),$L137,"")</f>
        <v/>
      </c>
      <c r="P137" s="0" t="str">
        <f aca="false">IF(J137="Выполнено",ROW(),"")</f>
        <v/>
      </c>
    </row>
    <row r="138" customFormat="false" ht="21.75" hidden="false" customHeight="true" outlineLevel="0" collapsed="false">
      <c r="A138" s="31"/>
      <c r="B138" s="31"/>
      <c r="C138" s="32"/>
      <c r="D138" s="32"/>
      <c r="E138" s="33"/>
      <c r="F138" s="33"/>
      <c r="G138" s="32"/>
      <c r="H138" s="32"/>
      <c r="I138" s="31"/>
      <c r="J138" s="34" t="str">
        <f aca="true">IF(TRIM(A138)="","",IF(D138="Выполнено","Выполнено",IF(OR(C138="Срочно",AND(F138&lt;&gt;"",F138&lt;=TODAY())),"Срочные",IF(OR(D138="Отложено",C138="Низкий",AND(F138&lt;&gt;"",F138&gt;TODAY()+Справочники!$H$2)),"Плановые","Текущие"))))</f>
        <v/>
      </c>
      <c r="K138" s="35" t="str">
        <f aca="true">IF(OR(A138="",D138="Выполнено"),"",IF(F138="",IF(AND(G138&lt;&gt;"",G138&lt;&gt;"Разово"),"↻ "&amp;G138,""),IF(F138&lt;TODAY(),"Просрочено на "&amp;(TODAY()-F138)&amp;" дн.",IF(F138=TODAY(),"Сегодня",IF(F138=TODAY()+1,"Завтра","Через "&amp;(F138-TODAY())&amp;" дн.")))))</f>
        <v/>
      </c>
      <c r="L138" s="0" t="str">
        <f aca="true">IF(J138="","",(IF(AND(F138&lt;&gt;"",F138&lt;TODAY()),0,1)*10000000+IFERROR(MATCH(C138,{"Срочно","Высокий","Средний","Низкий"},0),5)*100000+IF(F138="",99999,F138))*1000+ROW())</f>
        <v/>
      </c>
      <c r="M138" s="0" t="str">
        <f aca="false">IF(AND($J138="Срочные",OR(Главная!$F$6="Все",$B138=Главная!$F$6),OR(Главная!$F$7="Все",$C138=Главная!$F$7)),$L138,"")</f>
        <v/>
      </c>
      <c r="N138" s="0" t="str">
        <f aca="false">IF(AND($J138="Текущие",OR(Главная!$F$6="Все",$B138=Главная!$F$6),OR(Главная!$F$7="Все",$C138=Главная!$F$7)),$L138,"")</f>
        <v/>
      </c>
      <c r="O138" s="0" t="str">
        <f aca="false">IF(AND($J138="Плановые",OR(Главная!$F$6="Все",$B138=Главная!$F$6),OR(Главная!$F$7="Все",$C138=Главная!$F$7)),$L138,"")</f>
        <v/>
      </c>
      <c r="P138" s="0" t="str">
        <f aca="false">IF(J138="Выполнено",ROW(),"")</f>
        <v/>
      </c>
    </row>
    <row r="139" customFormat="false" ht="21.75" hidden="false" customHeight="true" outlineLevel="0" collapsed="false">
      <c r="A139" s="31"/>
      <c r="B139" s="31"/>
      <c r="C139" s="32"/>
      <c r="D139" s="32"/>
      <c r="E139" s="33"/>
      <c r="F139" s="33"/>
      <c r="G139" s="32"/>
      <c r="H139" s="32"/>
      <c r="I139" s="31"/>
      <c r="J139" s="34" t="str">
        <f aca="true">IF(TRIM(A139)="","",IF(D139="Выполнено","Выполнено",IF(OR(C139="Срочно",AND(F139&lt;&gt;"",F139&lt;=TODAY())),"Срочные",IF(OR(D139="Отложено",C139="Низкий",AND(F139&lt;&gt;"",F139&gt;TODAY()+Справочники!$H$2)),"Плановые","Текущие"))))</f>
        <v/>
      </c>
      <c r="K139" s="35" t="str">
        <f aca="true">IF(OR(A139="",D139="Выполнено"),"",IF(F139="",IF(AND(G139&lt;&gt;"",G139&lt;&gt;"Разово"),"↻ "&amp;G139,""),IF(F139&lt;TODAY(),"Просрочено на "&amp;(TODAY()-F139)&amp;" дн.",IF(F139=TODAY(),"Сегодня",IF(F139=TODAY()+1,"Завтра","Через "&amp;(F139-TODAY())&amp;" дн.")))))</f>
        <v/>
      </c>
      <c r="L139" s="0" t="str">
        <f aca="true">IF(J139="","",(IF(AND(F139&lt;&gt;"",F139&lt;TODAY()),0,1)*10000000+IFERROR(MATCH(C139,{"Срочно","Высокий","Средний","Низкий"},0),5)*100000+IF(F139="",99999,F139))*1000+ROW())</f>
        <v/>
      </c>
      <c r="M139" s="0" t="str">
        <f aca="false">IF(AND($J139="Срочные",OR(Главная!$F$6="Все",$B139=Главная!$F$6),OR(Главная!$F$7="Все",$C139=Главная!$F$7)),$L139,"")</f>
        <v/>
      </c>
      <c r="N139" s="0" t="str">
        <f aca="false">IF(AND($J139="Текущие",OR(Главная!$F$6="Все",$B139=Главная!$F$6),OR(Главная!$F$7="Все",$C139=Главная!$F$7)),$L139,"")</f>
        <v/>
      </c>
      <c r="O139" s="0" t="str">
        <f aca="false">IF(AND($J139="Плановые",OR(Главная!$F$6="Все",$B139=Главная!$F$6),OR(Главная!$F$7="Все",$C139=Главная!$F$7)),$L139,"")</f>
        <v/>
      </c>
      <c r="P139" s="0" t="str">
        <f aca="false">IF(J139="Выполнено",ROW(),"")</f>
        <v/>
      </c>
    </row>
    <row r="140" customFormat="false" ht="21.75" hidden="false" customHeight="true" outlineLevel="0" collapsed="false">
      <c r="A140" s="31"/>
      <c r="B140" s="31"/>
      <c r="C140" s="32"/>
      <c r="D140" s="32"/>
      <c r="E140" s="33"/>
      <c r="F140" s="33"/>
      <c r="G140" s="32"/>
      <c r="H140" s="32"/>
      <c r="I140" s="31"/>
      <c r="J140" s="34" t="str">
        <f aca="true">IF(TRIM(A140)="","",IF(D140="Выполнено","Выполнено",IF(OR(C140="Срочно",AND(F140&lt;&gt;"",F140&lt;=TODAY())),"Срочные",IF(OR(D140="Отложено",C140="Низкий",AND(F140&lt;&gt;"",F140&gt;TODAY()+Справочники!$H$2)),"Плановые","Текущие"))))</f>
        <v/>
      </c>
      <c r="K140" s="35" t="str">
        <f aca="true">IF(OR(A140="",D140="Выполнено"),"",IF(F140="",IF(AND(G140&lt;&gt;"",G140&lt;&gt;"Разово"),"↻ "&amp;G140,""),IF(F140&lt;TODAY(),"Просрочено на "&amp;(TODAY()-F140)&amp;" дн.",IF(F140=TODAY(),"Сегодня",IF(F140=TODAY()+1,"Завтра","Через "&amp;(F140-TODAY())&amp;" дн.")))))</f>
        <v/>
      </c>
      <c r="L140" s="0" t="str">
        <f aca="true">IF(J140="","",(IF(AND(F140&lt;&gt;"",F140&lt;TODAY()),0,1)*10000000+IFERROR(MATCH(C140,{"Срочно","Высокий","Средний","Низкий"},0),5)*100000+IF(F140="",99999,F140))*1000+ROW())</f>
        <v/>
      </c>
      <c r="M140" s="0" t="str">
        <f aca="false">IF(AND($J140="Срочные",OR(Главная!$F$6="Все",$B140=Главная!$F$6),OR(Главная!$F$7="Все",$C140=Главная!$F$7)),$L140,"")</f>
        <v/>
      </c>
      <c r="N140" s="0" t="str">
        <f aca="false">IF(AND($J140="Текущие",OR(Главная!$F$6="Все",$B140=Главная!$F$6),OR(Главная!$F$7="Все",$C140=Главная!$F$7)),$L140,"")</f>
        <v/>
      </c>
      <c r="O140" s="0" t="str">
        <f aca="false">IF(AND($J140="Плановые",OR(Главная!$F$6="Все",$B140=Главная!$F$6),OR(Главная!$F$7="Все",$C140=Главная!$F$7)),$L140,"")</f>
        <v/>
      </c>
      <c r="P140" s="0" t="str">
        <f aca="false">IF(J140="Выполнено",ROW(),"")</f>
        <v/>
      </c>
    </row>
    <row r="141" customFormat="false" ht="21.75" hidden="false" customHeight="true" outlineLevel="0" collapsed="false">
      <c r="A141" s="31"/>
      <c r="B141" s="31"/>
      <c r="C141" s="32"/>
      <c r="D141" s="32"/>
      <c r="E141" s="33"/>
      <c r="F141" s="33"/>
      <c r="G141" s="32"/>
      <c r="H141" s="32"/>
      <c r="I141" s="31"/>
      <c r="J141" s="34" t="str">
        <f aca="true">IF(TRIM(A141)="","",IF(D141="Выполнено","Выполнено",IF(OR(C141="Срочно",AND(F141&lt;&gt;"",F141&lt;=TODAY())),"Срочные",IF(OR(D141="Отложено",C141="Низкий",AND(F141&lt;&gt;"",F141&gt;TODAY()+Справочники!$H$2)),"Плановые","Текущие"))))</f>
        <v/>
      </c>
      <c r="K141" s="35" t="str">
        <f aca="true">IF(OR(A141="",D141="Выполнено"),"",IF(F141="",IF(AND(G141&lt;&gt;"",G141&lt;&gt;"Разово"),"↻ "&amp;G141,""),IF(F141&lt;TODAY(),"Просрочено на "&amp;(TODAY()-F141)&amp;" дн.",IF(F141=TODAY(),"Сегодня",IF(F141=TODAY()+1,"Завтра","Через "&amp;(F141-TODAY())&amp;" дн.")))))</f>
        <v/>
      </c>
      <c r="L141" s="0" t="str">
        <f aca="true">IF(J141="","",(IF(AND(F141&lt;&gt;"",F141&lt;TODAY()),0,1)*10000000+IFERROR(MATCH(C141,{"Срочно","Высокий","Средний","Низкий"},0),5)*100000+IF(F141="",99999,F141))*1000+ROW())</f>
        <v/>
      </c>
      <c r="M141" s="0" t="str">
        <f aca="false">IF(AND($J141="Срочные",OR(Главная!$F$6="Все",$B141=Главная!$F$6),OR(Главная!$F$7="Все",$C141=Главная!$F$7)),$L141,"")</f>
        <v/>
      </c>
      <c r="N141" s="0" t="str">
        <f aca="false">IF(AND($J141="Текущие",OR(Главная!$F$6="Все",$B141=Главная!$F$6),OR(Главная!$F$7="Все",$C141=Главная!$F$7)),$L141,"")</f>
        <v/>
      </c>
      <c r="O141" s="0" t="str">
        <f aca="false">IF(AND($J141="Плановые",OR(Главная!$F$6="Все",$B141=Главная!$F$6),OR(Главная!$F$7="Все",$C141=Главная!$F$7)),$L141,"")</f>
        <v/>
      </c>
      <c r="P141" s="0" t="str">
        <f aca="false">IF(J141="Выполнено",ROW(),"")</f>
        <v/>
      </c>
    </row>
    <row r="142" customFormat="false" ht="21.75" hidden="false" customHeight="true" outlineLevel="0" collapsed="false">
      <c r="A142" s="31"/>
      <c r="B142" s="31"/>
      <c r="C142" s="32"/>
      <c r="D142" s="32"/>
      <c r="E142" s="33"/>
      <c r="F142" s="33"/>
      <c r="G142" s="32"/>
      <c r="H142" s="32"/>
      <c r="I142" s="31"/>
      <c r="J142" s="34" t="str">
        <f aca="true">IF(TRIM(A142)="","",IF(D142="Выполнено","Выполнено",IF(OR(C142="Срочно",AND(F142&lt;&gt;"",F142&lt;=TODAY())),"Срочные",IF(OR(D142="Отложено",C142="Низкий",AND(F142&lt;&gt;"",F142&gt;TODAY()+Справочники!$H$2)),"Плановые","Текущие"))))</f>
        <v/>
      </c>
      <c r="K142" s="35" t="str">
        <f aca="true">IF(OR(A142="",D142="Выполнено"),"",IF(F142="",IF(AND(G142&lt;&gt;"",G142&lt;&gt;"Разово"),"↻ "&amp;G142,""),IF(F142&lt;TODAY(),"Просрочено на "&amp;(TODAY()-F142)&amp;" дн.",IF(F142=TODAY(),"Сегодня",IF(F142=TODAY()+1,"Завтра","Через "&amp;(F142-TODAY())&amp;" дн.")))))</f>
        <v/>
      </c>
      <c r="L142" s="0" t="str">
        <f aca="true">IF(J142="","",(IF(AND(F142&lt;&gt;"",F142&lt;TODAY()),0,1)*10000000+IFERROR(MATCH(C142,{"Срочно","Высокий","Средний","Низкий"},0),5)*100000+IF(F142="",99999,F142))*1000+ROW())</f>
        <v/>
      </c>
      <c r="M142" s="0" t="str">
        <f aca="false">IF(AND($J142="Срочные",OR(Главная!$F$6="Все",$B142=Главная!$F$6),OR(Главная!$F$7="Все",$C142=Главная!$F$7)),$L142,"")</f>
        <v/>
      </c>
      <c r="N142" s="0" t="str">
        <f aca="false">IF(AND($J142="Текущие",OR(Главная!$F$6="Все",$B142=Главная!$F$6),OR(Главная!$F$7="Все",$C142=Главная!$F$7)),$L142,"")</f>
        <v/>
      </c>
      <c r="O142" s="0" t="str">
        <f aca="false">IF(AND($J142="Плановые",OR(Главная!$F$6="Все",$B142=Главная!$F$6),OR(Главная!$F$7="Все",$C142=Главная!$F$7)),$L142,"")</f>
        <v/>
      </c>
      <c r="P142" s="0" t="str">
        <f aca="false">IF(J142="Выполнено",ROW(),"")</f>
        <v/>
      </c>
    </row>
    <row r="143" customFormat="false" ht="21.75" hidden="false" customHeight="true" outlineLevel="0" collapsed="false">
      <c r="A143" s="31"/>
      <c r="B143" s="31"/>
      <c r="C143" s="32"/>
      <c r="D143" s="32"/>
      <c r="E143" s="33"/>
      <c r="F143" s="33"/>
      <c r="G143" s="32"/>
      <c r="H143" s="32"/>
      <c r="I143" s="31"/>
      <c r="J143" s="34" t="str">
        <f aca="true">IF(TRIM(A143)="","",IF(D143="Выполнено","Выполнено",IF(OR(C143="Срочно",AND(F143&lt;&gt;"",F143&lt;=TODAY())),"Срочные",IF(OR(D143="Отложено",C143="Низкий",AND(F143&lt;&gt;"",F143&gt;TODAY()+Справочники!$H$2)),"Плановые","Текущие"))))</f>
        <v/>
      </c>
      <c r="K143" s="35" t="str">
        <f aca="true">IF(OR(A143="",D143="Выполнено"),"",IF(F143="",IF(AND(G143&lt;&gt;"",G143&lt;&gt;"Разово"),"↻ "&amp;G143,""),IF(F143&lt;TODAY(),"Просрочено на "&amp;(TODAY()-F143)&amp;" дн.",IF(F143=TODAY(),"Сегодня",IF(F143=TODAY()+1,"Завтра","Через "&amp;(F143-TODAY())&amp;" дн.")))))</f>
        <v/>
      </c>
      <c r="L143" s="0" t="str">
        <f aca="true">IF(J143="","",(IF(AND(F143&lt;&gt;"",F143&lt;TODAY()),0,1)*10000000+IFERROR(MATCH(C143,{"Срочно","Высокий","Средний","Низкий"},0),5)*100000+IF(F143="",99999,F143))*1000+ROW())</f>
        <v/>
      </c>
      <c r="M143" s="0" t="str">
        <f aca="false">IF(AND($J143="Срочные",OR(Главная!$F$6="Все",$B143=Главная!$F$6),OR(Главная!$F$7="Все",$C143=Главная!$F$7)),$L143,"")</f>
        <v/>
      </c>
      <c r="N143" s="0" t="str">
        <f aca="false">IF(AND($J143="Текущие",OR(Главная!$F$6="Все",$B143=Главная!$F$6),OR(Главная!$F$7="Все",$C143=Главная!$F$7)),$L143,"")</f>
        <v/>
      </c>
      <c r="O143" s="0" t="str">
        <f aca="false">IF(AND($J143="Плановые",OR(Главная!$F$6="Все",$B143=Главная!$F$6),OR(Главная!$F$7="Все",$C143=Главная!$F$7)),$L143,"")</f>
        <v/>
      </c>
      <c r="P143" s="0" t="str">
        <f aca="false">IF(J143="Выполнено",ROW(),"")</f>
        <v/>
      </c>
    </row>
    <row r="144" customFormat="false" ht="21.75" hidden="false" customHeight="true" outlineLevel="0" collapsed="false">
      <c r="A144" s="31"/>
      <c r="B144" s="31"/>
      <c r="C144" s="32"/>
      <c r="D144" s="32"/>
      <c r="E144" s="33"/>
      <c r="F144" s="33"/>
      <c r="G144" s="32"/>
      <c r="H144" s="32"/>
      <c r="I144" s="31"/>
      <c r="J144" s="34" t="str">
        <f aca="true">IF(TRIM(A144)="","",IF(D144="Выполнено","Выполнено",IF(OR(C144="Срочно",AND(F144&lt;&gt;"",F144&lt;=TODAY())),"Срочные",IF(OR(D144="Отложено",C144="Низкий",AND(F144&lt;&gt;"",F144&gt;TODAY()+Справочники!$H$2)),"Плановые","Текущие"))))</f>
        <v/>
      </c>
      <c r="K144" s="35" t="str">
        <f aca="true">IF(OR(A144="",D144="Выполнено"),"",IF(F144="",IF(AND(G144&lt;&gt;"",G144&lt;&gt;"Разово"),"↻ "&amp;G144,""),IF(F144&lt;TODAY(),"Просрочено на "&amp;(TODAY()-F144)&amp;" дн.",IF(F144=TODAY(),"Сегодня",IF(F144=TODAY()+1,"Завтра","Через "&amp;(F144-TODAY())&amp;" дн.")))))</f>
        <v/>
      </c>
      <c r="L144" s="0" t="str">
        <f aca="true">IF(J144="","",(IF(AND(F144&lt;&gt;"",F144&lt;TODAY()),0,1)*10000000+IFERROR(MATCH(C144,{"Срочно","Высокий","Средний","Низкий"},0),5)*100000+IF(F144="",99999,F144))*1000+ROW())</f>
        <v/>
      </c>
      <c r="M144" s="0" t="str">
        <f aca="false">IF(AND($J144="Срочные",OR(Главная!$F$6="Все",$B144=Главная!$F$6),OR(Главная!$F$7="Все",$C144=Главная!$F$7)),$L144,"")</f>
        <v/>
      </c>
      <c r="N144" s="0" t="str">
        <f aca="false">IF(AND($J144="Текущие",OR(Главная!$F$6="Все",$B144=Главная!$F$6),OR(Главная!$F$7="Все",$C144=Главная!$F$7)),$L144,"")</f>
        <v/>
      </c>
      <c r="O144" s="0" t="str">
        <f aca="false">IF(AND($J144="Плановые",OR(Главная!$F$6="Все",$B144=Главная!$F$6),OR(Главная!$F$7="Все",$C144=Главная!$F$7)),$L144,"")</f>
        <v/>
      </c>
      <c r="P144" s="0" t="str">
        <f aca="false">IF(J144="Выполнено",ROW(),"")</f>
        <v/>
      </c>
    </row>
    <row r="145" customFormat="false" ht="21.75" hidden="false" customHeight="true" outlineLevel="0" collapsed="false">
      <c r="A145" s="31"/>
      <c r="B145" s="31"/>
      <c r="C145" s="32"/>
      <c r="D145" s="32"/>
      <c r="E145" s="33"/>
      <c r="F145" s="33"/>
      <c r="G145" s="32"/>
      <c r="H145" s="32"/>
      <c r="I145" s="31"/>
      <c r="J145" s="34" t="str">
        <f aca="true">IF(TRIM(A145)="","",IF(D145="Выполнено","Выполнено",IF(OR(C145="Срочно",AND(F145&lt;&gt;"",F145&lt;=TODAY())),"Срочные",IF(OR(D145="Отложено",C145="Низкий",AND(F145&lt;&gt;"",F145&gt;TODAY()+Справочники!$H$2)),"Плановые","Текущие"))))</f>
        <v/>
      </c>
      <c r="K145" s="35" t="str">
        <f aca="true">IF(OR(A145="",D145="Выполнено"),"",IF(F145="",IF(AND(G145&lt;&gt;"",G145&lt;&gt;"Разово"),"↻ "&amp;G145,""),IF(F145&lt;TODAY(),"Просрочено на "&amp;(TODAY()-F145)&amp;" дн.",IF(F145=TODAY(),"Сегодня",IF(F145=TODAY()+1,"Завтра","Через "&amp;(F145-TODAY())&amp;" дн.")))))</f>
        <v/>
      </c>
      <c r="L145" s="0" t="str">
        <f aca="true">IF(J145="","",(IF(AND(F145&lt;&gt;"",F145&lt;TODAY()),0,1)*10000000+IFERROR(MATCH(C145,{"Срочно","Высокий","Средний","Низкий"},0),5)*100000+IF(F145="",99999,F145))*1000+ROW())</f>
        <v/>
      </c>
      <c r="M145" s="0" t="str">
        <f aca="false">IF(AND($J145="Срочные",OR(Главная!$F$6="Все",$B145=Главная!$F$6),OR(Главная!$F$7="Все",$C145=Главная!$F$7)),$L145,"")</f>
        <v/>
      </c>
      <c r="N145" s="0" t="str">
        <f aca="false">IF(AND($J145="Текущие",OR(Главная!$F$6="Все",$B145=Главная!$F$6),OR(Главная!$F$7="Все",$C145=Главная!$F$7)),$L145,"")</f>
        <v/>
      </c>
      <c r="O145" s="0" t="str">
        <f aca="false">IF(AND($J145="Плановые",OR(Главная!$F$6="Все",$B145=Главная!$F$6),OR(Главная!$F$7="Все",$C145=Главная!$F$7)),$L145,"")</f>
        <v/>
      </c>
      <c r="P145" s="0" t="str">
        <f aca="false">IF(J145="Выполнено",ROW(),"")</f>
        <v/>
      </c>
    </row>
    <row r="146" customFormat="false" ht="21.75" hidden="false" customHeight="true" outlineLevel="0" collapsed="false">
      <c r="A146" s="31"/>
      <c r="B146" s="31"/>
      <c r="C146" s="32"/>
      <c r="D146" s="32"/>
      <c r="E146" s="33"/>
      <c r="F146" s="33"/>
      <c r="G146" s="32"/>
      <c r="H146" s="32"/>
      <c r="I146" s="31"/>
      <c r="J146" s="34" t="str">
        <f aca="true">IF(TRIM(A146)="","",IF(D146="Выполнено","Выполнено",IF(OR(C146="Срочно",AND(F146&lt;&gt;"",F146&lt;=TODAY())),"Срочные",IF(OR(D146="Отложено",C146="Низкий",AND(F146&lt;&gt;"",F146&gt;TODAY()+Справочники!$H$2)),"Плановые","Текущие"))))</f>
        <v/>
      </c>
      <c r="K146" s="35" t="str">
        <f aca="true">IF(OR(A146="",D146="Выполнено"),"",IF(F146="",IF(AND(G146&lt;&gt;"",G146&lt;&gt;"Разово"),"↻ "&amp;G146,""),IF(F146&lt;TODAY(),"Просрочено на "&amp;(TODAY()-F146)&amp;" дн.",IF(F146=TODAY(),"Сегодня",IF(F146=TODAY()+1,"Завтра","Через "&amp;(F146-TODAY())&amp;" дн.")))))</f>
        <v/>
      </c>
      <c r="L146" s="0" t="str">
        <f aca="true">IF(J146="","",(IF(AND(F146&lt;&gt;"",F146&lt;TODAY()),0,1)*10000000+IFERROR(MATCH(C146,{"Срочно","Высокий","Средний","Низкий"},0),5)*100000+IF(F146="",99999,F146))*1000+ROW())</f>
        <v/>
      </c>
      <c r="M146" s="0" t="str">
        <f aca="false">IF(AND($J146="Срочные",OR(Главная!$F$6="Все",$B146=Главная!$F$6),OR(Главная!$F$7="Все",$C146=Главная!$F$7)),$L146,"")</f>
        <v/>
      </c>
      <c r="N146" s="0" t="str">
        <f aca="false">IF(AND($J146="Текущие",OR(Главная!$F$6="Все",$B146=Главная!$F$6),OR(Главная!$F$7="Все",$C146=Главная!$F$7)),$L146,"")</f>
        <v/>
      </c>
      <c r="O146" s="0" t="str">
        <f aca="false">IF(AND($J146="Плановые",OR(Главная!$F$6="Все",$B146=Главная!$F$6),OR(Главная!$F$7="Все",$C146=Главная!$F$7)),$L146,"")</f>
        <v/>
      </c>
      <c r="P146" s="0" t="str">
        <f aca="false">IF(J146="Выполнено",ROW(),"")</f>
        <v/>
      </c>
    </row>
    <row r="147" customFormat="false" ht="21.75" hidden="false" customHeight="true" outlineLevel="0" collapsed="false">
      <c r="A147" s="31"/>
      <c r="B147" s="31"/>
      <c r="C147" s="32"/>
      <c r="D147" s="32"/>
      <c r="E147" s="33"/>
      <c r="F147" s="33"/>
      <c r="G147" s="32"/>
      <c r="H147" s="32"/>
      <c r="I147" s="31"/>
      <c r="J147" s="34" t="str">
        <f aca="true">IF(TRIM(A147)="","",IF(D147="Выполнено","Выполнено",IF(OR(C147="Срочно",AND(F147&lt;&gt;"",F147&lt;=TODAY())),"Срочные",IF(OR(D147="Отложено",C147="Низкий",AND(F147&lt;&gt;"",F147&gt;TODAY()+Справочники!$H$2)),"Плановые","Текущие"))))</f>
        <v/>
      </c>
      <c r="K147" s="35" t="str">
        <f aca="true">IF(OR(A147="",D147="Выполнено"),"",IF(F147="",IF(AND(G147&lt;&gt;"",G147&lt;&gt;"Разово"),"↻ "&amp;G147,""),IF(F147&lt;TODAY(),"Просрочено на "&amp;(TODAY()-F147)&amp;" дн.",IF(F147=TODAY(),"Сегодня",IF(F147=TODAY()+1,"Завтра","Через "&amp;(F147-TODAY())&amp;" дн.")))))</f>
        <v/>
      </c>
      <c r="L147" s="0" t="str">
        <f aca="true">IF(J147="","",(IF(AND(F147&lt;&gt;"",F147&lt;TODAY()),0,1)*10000000+IFERROR(MATCH(C147,{"Срочно","Высокий","Средний","Низкий"},0),5)*100000+IF(F147="",99999,F147))*1000+ROW())</f>
        <v/>
      </c>
      <c r="M147" s="0" t="str">
        <f aca="false">IF(AND($J147="Срочные",OR(Главная!$F$6="Все",$B147=Главная!$F$6),OR(Главная!$F$7="Все",$C147=Главная!$F$7)),$L147,"")</f>
        <v/>
      </c>
      <c r="N147" s="0" t="str">
        <f aca="false">IF(AND($J147="Текущие",OR(Главная!$F$6="Все",$B147=Главная!$F$6),OR(Главная!$F$7="Все",$C147=Главная!$F$7)),$L147,"")</f>
        <v/>
      </c>
      <c r="O147" s="0" t="str">
        <f aca="false">IF(AND($J147="Плановые",OR(Главная!$F$6="Все",$B147=Главная!$F$6),OR(Главная!$F$7="Все",$C147=Главная!$F$7)),$L147,"")</f>
        <v/>
      </c>
      <c r="P147" s="0" t="str">
        <f aca="false">IF(J147="Выполнено",ROW(),"")</f>
        <v/>
      </c>
    </row>
    <row r="148" customFormat="false" ht="21.75" hidden="false" customHeight="true" outlineLevel="0" collapsed="false">
      <c r="A148" s="31"/>
      <c r="B148" s="31"/>
      <c r="C148" s="32"/>
      <c r="D148" s="32"/>
      <c r="E148" s="33"/>
      <c r="F148" s="33"/>
      <c r="G148" s="32"/>
      <c r="H148" s="32"/>
      <c r="I148" s="31"/>
      <c r="J148" s="34" t="str">
        <f aca="true">IF(TRIM(A148)="","",IF(D148="Выполнено","Выполнено",IF(OR(C148="Срочно",AND(F148&lt;&gt;"",F148&lt;=TODAY())),"Срочные",IF(OR(D148="Отложено",C148="Низкий",AND(F148&lt;&gt;"",F148&gt;TODAY()+Справочники!$H$2)),"Плановые","Текущие"))))</f>
        <v/>
      </c>
      <c r="K148" s="35" t="str">
        <f aca="true">IF(OR(A148="",D148="Выполнено"),"",IF(F148="",IF(AND(G148&lt;&gt;"",G148&lt;&gt;"Разово"),"↻ "&amp;G148,""),IF(F148&lt;TODAY(),"Просрочено на "&amp;(TODAY()-F148)&amp;" дн.",IF(F148=TODAY(),"Сегодня",IF(F148=TODAY()+1,"Завтра","Через "&amp;(F148-TODAY())&amp;" дн.")))))</f>
        <v/>
      </c>
      <c r="L148" s="0" t="str">
        <f aca="true">IF(J148="","",(IF(AND(F148&lt;&gt;"",F148&lt;TODAY()),0,1)*10000000+IFERROR(MATCH(C148,{"Срочно","Высокий","Средний","Низкий"},0),5)*100000+IF(F148="",99999,F148))*1000+ROW())</f>
        <v/>
      </c>
      <c r="M148" s="0" t="str">
        <f aca="false">IF(AND($J148="Срочные",OR(Главная!$F$6="Все",$B148=Главная!$F$6),OR(Главная!$F$7="Все",$C148=Главная!$F$7)),$L148,"")</f>
        <v/>
      </c>
      <c r="N148" s="0" t="str">
        <f aca="false">IF(AND($J148="Текущие",OR(Главная!$F$6="Все",$B148=Главная!$F$6),OR(Главная!$F$7="Все",$C148=Главная!$F$7)),$L148,"")</f>
        <v/>
      </c>
      <c r="O148" s="0" t="str">
        <f aca="false">IF(AND($J148="Плановые",OR(Главная!$F$6="Все",$B148=Главная!$F$6),OR(Главная!$F$7="Все",$C148=Главная!$F$7)),$L148,"")</f>
        <v/>
      </c>
      <c r="P148" s="0" t="str">
        <f aca="false">IF(J148="Выполнено",ROW(),"")</f>
        <v/>
      </c>
    </row>
    <row r="149" customFormat="false" ht="21.75" hidden="false" customHeight="true" outlineLevel="0" collapsed="false">
      <c r="A149" s="31"/>
      <c r="B149" s="31"/>
      <c r="C149" s="32"/>
      <c r="D149" s="32"/>
      <c r="E149" s="33"/>
      <c r="F149" s="33"/>
      <c r="G149" s="32"/>
      <c r="H149" s="32"/>
      <c r="I149" s="31"/>
      <c r="J149" s="34" t="str">
        <f aca="true">IF(TRIM(A149)="","",IF(D149="Выполнено","Выполнено",IF(OR(C149="Срочно",AND(F149&lt;&gt;"",F149&lt;=TODAY())),"Срочные",IF(OR(D149="Отложено",C149="Низкий",AND(F149&lt;&gt;"",F149&gt;TODAY()+Справочники!$H$2)),"Плановые","Текущие"))))</f>
        <v/>
      </c>
      <c r="K149" s="35" t="str">
        <f aca="true">IF(OR(A149="",D149="Выполнено"),"",IF(F149="",IF(AND(G149&lt;&gt;"",G149&lt;&gt;"Разово"),"↻ "&amp;G149,""),IF(F149&lt;TODAY(),"Просрочено на "&amp;(TODAY()-F149)&amp;" дн.",IF(F149=TODAY(),"Сегодня",IF(F149=TODAY()+1,"Завтра","Через "&amp;(F149-TODAY())&amp;" дн.")))))</f>
        <v/>
      </c>
      <c r="L149" s="0" t="str">
        <f aca="true">IF(J149="","",(IF(AND(F149&lt;&gt;"",F149&lt;TODAY()),0,1)*10000000+IFERROR(MATCH(C149,{"Срочно","Высокий","Средний","Низкий"},0),5)*100000+IF(F149="",99999,F149))*1000+ROW())</f>
        <v/>
      </c>
      <c r="M149" s="0" t="str">
        <f aca="false">IF(AND($J149="Срочные",OR(Главная!$F$6="Все",$B149=Главная!$F$6),OR(Главная!$F$7="Все",$C149=Главная!$F$7)),$L149,"")</f>
        <v/>
      </c>
      <c r="N149" s="0" t="str">
        <f aca="false">IF(AND($J149="Текущие",OR(Главная!$F$6="Все",$B149=Главная!$F$6),OR(Главная!$F$7="Все",$C149=Главная!$F$7)),$L149,"")</f>
        <v/>
      </c>
      <c r="O149" s="0" t="str">
        <f aca="false">IF(AND($J149="Плановые",OR(Главная!$F$6="Все",$B149=Главная!$F$6),OR(Главная!$F$7="Все",$C149=Главная!$F$7)),$L149,"")</f>
        <v/>
      </c>
      <c r="P149" s="0" t="str">
        <f aca="false">IF(J149="Выполнено",ROW(),"")</f>
        <v/>
      </c>
    </row>
    <row r="150" customFormat="false" ht="21.75" hidden="false" customHeight="true" outlineLevel="0" collapsed="false">
      <c r="A150" s="31"/>
      <c r="B150" s="31"/>
      <c r="C150" s="32"/>
      <c r="D150" s="32"/>
      <c r="E150" s="33"/>
      <c r="F150" s="33"/>
      <c r="G150" s="32"/>
      <c r="H150" s="32"/>
      <c r="I150" s="31"/>
      <c r="J150" s="34" t="str">
        <f aca="true">IF(TRIM(A150)="","",IF(D150="Выполнено","Выполнено",IF(OR(C150="Срочно",AND(F150&lt;&gt;"",F150&lt;=TODAY())),"Срочные",IF(OR(D150="Отложено",C150="Низкий",AND(F150&lt;&gt;"",F150&gt;TODAY()+Справочники!$H$2)),"Плановые","Текущие"))))</f>
        <v/>
      </c>
      <c r="K150" s="35" t="str">
        <f aca="true">IF(OR(A150="",D150="Выполнено"),"",IF(F150="",IF(AND(G150&lt;&gt;"",G150&lt;&gt;"Разово"),"↻ "&amp;G150,""),IF(F150&lt;TODAY(),"Просрочено на "&amp;(TODAY()-F150)&amp;" дн.",IF(F150=TODAY(),"Сегодня",IF(F150=TODAY()+1,"Завтра","Через "&amp;(F150-TODAY())&amp;" дн.")))))</f>
        <v/>
      </c>
      <c r="L150" s="0" t="str">
        <f aca="true">IF(J150="","",(IF(AND(F150&lt;&gt;"",F150&lt;TODAY()),0,1)*10000000+IFERROR(MATCH(C150,{"Срочно","Высокий","Средний","Низкий"},0),5)*100000+IF(F150="",99999,F150))*1000+ROW())</f>
        <v/>
      </c>
      <c r="M150" s="0" t="str">
        <f aca="false">IF(AND($J150="Срочные",OR(Главная!$F$6="Все",$B150=Главная!$F$6),OR(Главная!$F$7="Все",$C150=Главная!$F$7)),$L150,"")</f>
        <v/>
      </c>
      <c r="N150" s="0" t="str">
        <f aca="false">IF(AND($J150="Текущие",OR(Главная!$F$6="Все",$B150=Главная!$F$6),OR(Главная!$F$7="Все",$C150=Главная!$F$7)),$L150,"")</f>
        <v/>
      </c>
      <c r="O150" s="0" t="str">
        <f aca="false">IF(AND($J150="Плановые",OR(Главная!$F$6="Все",$B150=Главная!$F$6),OR(Главная!$F$7="Все",$C150=Главная!$F$7)),$L150,"")</f>
        <v/>
      </c>
      <c r="P150" s="0" t="str">
        <f aca="false">IF(J150="Выполнено",ROW(),"")</f>
        <v/>
      </c>
    </row>
    <row r="151" customFormat="false" ht="21.75" hidden="false" customHeight="true" outlineLevel="0" collapsed="false">
      <c r="A151" s="31"/>
      <c r="B151" s="31"/>
      <c r="C151" s="32"/>
      <c r="D151" s="32"/>
      <c r="E151" s="33"/>
      <c r="F151" s="33"/>
      <c r="G151" s="32"/>
      <c r="H151" s="32"/>
      <c r="I151" s="31"/>
      <c r="J151" s="34" t="str">
        <f aca="true">IF(TRIM(A151)="","",IF(D151="Выполнено","Выполнено",IF(OR(C151="Срочно",AND(F151&lt;&gt;"",F151&lt;=TODAY())),"Срочные",IF(OR(D151="Отложено",C151="Низкий",AND(F151&lt;&gt;"",F151&gt;TODAY()+Справочники!$H$2)),"Плановые","Текущие"))))</f>
        <v/>
      </c>
      <c r="K151" s="35" t="str">
        <f aca="true">IF(OR(A151="",D151="Выполнено"),"",IF(F151="",IF(AND(G151&lt;&gt;"",G151&lt;&gt;"Разово"),"↻ "&amp;G151,""),IF(F151&lt;TODAY(),"Просрочено на "&amp;(TODAY()-F151)&amp;" дн.",IF(F151=TODAY(),"Сегодня",IF(F151=TODAY()+1,"Завтра","Через "&amp;(F151-TODAY())&amp;" дн.")))))</f>
        <v/>
      </c>
      <c r="L151" s="0" t="str">
        <f aca="true">IF(J151="","",(IF(AND(F151&lt;&gt;"",F151&lt;TODAY()),0,1)*10000000+IFERROR(MATCH(C151,{"Срочно","Высокий","Средний","Низкий"},0),5)*100000+IF(F151="",99999,F151))*1000+ROW())</f>
        <v/>
      </c>
      <c r="M151" s="0" t="str">
        <f aca="false">IF(AND($J151="Срочные",OR(Главная!$F$6="Все",$B151=Главная!$F$6),OR(Главная!$F$7="Все",$C151=Главная!$F$7)),$L151,"")</f>
        <v/>
      </c>
      <c r="N151" s="0" t="str">
        <f aca="false">IF(AND($J151="Текущие",OR(Главная!$F$6="Все",$B151=Главная!$F$6),OR(Главная!$F$7="Все",$C151=Главная!$F$7)),$L151,"")</f>
        <v/>
      </c>
      <c r="O151" s="0" t="str">
        <f aca="false">IF(AND($J151="Плановые",OR(Главная!$F$6="Все",$B151=Главная!$F$6),OR(Главная!$F$7="Все",$C151=Главная!$F$7)),$L151,"")</f>
        <v/>
      </c>
      <c r="P151" s="0" t="str">
        <f aca="false">IF(J151="Выполнено",ROW(),"")</f>
        <v/>
      </c>
    </row>
    <row r="152" customFormat="false" ht="21.75" hidden="false" customHeight="true" outlineLevel="0" collapsed="false">
      <c r="A152" s="31"/>
      <c r="B152" s="31"/>
      <c r="C152" s="32"/>
      <c r="D152" s="32"/>
      <c r="E152" s="33"/>
      <c r="F152" s="33"/>
      <c r="G152" s="32"/>
      <c r="H152" s="32"/>
      <c r="I152" s="31"/>
      <c r="J152" s="34" t="str">
        <f aca="true">IF(TRIM(A152)="","",IF(D152="Выполнено","Выполнено",IF(OR(C152="Срочно",AND(F152&lt;&gt;"",F152&lt;=TODAY())),"Срочные",IF(OR(D152="Отложено",C152="Низкий",AND(F152&lt;&gt;"",F152&gt;TODAY()+Справочники!$H$2)),"Плановые","Текущие"))))</f>
        <v/>
      </c>
      <c r="K152" s="35" t="str">
        <f aca="true">IF(OR(A152="",D152="Выполнено"),"",IF(F152="",IF(AND(G152&lt;&gt;"",G152&lt;&gt;"Разово"),"↻ "&amp;G152,""),IF(F152&lt;TODAY(),"Просрочено на "&amp;(TODAY()-F152)&amp;" дн.",IF(F152=TODAY(),"Сегодня",IF(F152=TODAY()+1,"Завтра","Через "&amp;(F152-TODAY())&amp;" дн.")))))</f>
        <v/>
      </c>
      <c r="L152" s="0" t="str">
        <f aca="true">IF(J152="","",(IF(AND(F152&lt;&gt;"",F152&lt;TODAY()),0,1)*10000000+IFERROR(MATCH(C152,{"Срочно","Высокий","Средний","Низкий"},0),5)*100000+IF(F152="",99999,F152))*1000+ROW())</f>
        <v/>
      </c>
      <c r="M152" s="0" t="str">
        <f aca="false">IF(AND($J152="Срочные",OR(Главная!$F$6="Все",$B152=Главная!$F$6),OR(Главная!$F$7="Все",$C152=Главная!$F$7)),$L152,"")</f>
        <v/>
      </c>
      <c r="N152" s="0" t="str">
        <f aca="false">IF(AND($J152="Текущие",OR(Главная!$F$6="Все",$B152=Главная!$F$6),OR(Главная!$F$7="Все",$C152=Главная!$F$7)),$L152,"")</f>
        <v/>
      </c>
      <c r="O152" s="0" t="str">
        <f aca="false">IF(AND($J152="Плановые",OR(Главная!$F$6="Все",$B152=Главная!$F$6),OR(Главная!$F$7="Все",$C152=Главная!$F$7)),$L152,"")</f>
        <v/>
      </c>
      <c r="P152" s="0" t="str">
        <f aca="false">IF(J152="Выполнено",ROW(),"")</f>
        <v/>
      </c>
    </row>
    <row r="153" customFormat="false" ht="21.75" hidden="false" customHeight="true" outlineLevel="0" collapsed="false">
      <c r="A153" s="31"/>
      <c r="B153" s="31"/>
      <c r="C153" s="32"/>
      <c r="D153" s="32"/>
      <c r="E153" s="33"/>
      <c r="F153" s="33"/>
      <c r="G153" s="32"/>
      <c r="H153" s="32"/>
      <c r="I153" s="31"/>
      <c r="J153" s="34" t="str">
        <f aca="true">IF(TRIM(A153)="","",IF(D153="Выполнено","Выполнено",IF(OR(C153="Срочно",AND(F153&lt;&gt;"",F153&lt;=TODAY())),"Срочные",IF(OR(D153="Отложено",C153="Низкий",AND(F153&lt;&gt;"",F153&gt;TODAY()+Справочники!$H$2)),"Плановые","Текущие"))))</f>
        <v/>
      </c>
      <c r="K153" s="35" t="str">
        <f aca="true">IF(OR(A153="",D153="Выполнено"),"",IF(F153="",IF(AND(G153&lt;&gt;"",G153&lt;&gt;"Разово"),"↻ "&amp;G153,""),IF(F153&lt;TODAY(),"Просрочено на "&amp;(TODAY()-F153)&amp;" дн.",IF(F153=TODAY(),"Сегодня",IF(F153=TODAY()+1,"Завтра","Через "&amp;(F153-TODAY())&amp;" дн.")))))</f>
        <v/>
      </c>
      <c r="L153" s="0" t="str">
        <f aca="true">IF(J153="","",(IF(AND(F153&lt;&gt;"",F153&lt;TODAY()),0,1)*10000000+IFERROR(MATCH(C153,{"Срочно","Высокий","Средний","Низкий"},0),5)*100000+IF(F153="",99999,F153))*1000+ROW())</f>
        <v/>
      </c>
      <c r="M153" s="0" t="str">
        <f aca="false">IF(AND($J153="Срочные",OR(Главная!$F$6="Все",$B153=Главная!$F$6),OR(Главная!$F$7="Все",$C153=Главная!$F$7)),$L153,"")</f>
        <v/>
      </c>
      <c r="N153" s="0" t="str">
        <f aca="false">IF(AND($J153="Текущие",OR(Главная!$F$6="Все",$B153=Главная!$F$6),OR(Главная!$F$7="Все",$C153=Главная!$F$7)),$L153,"")</f>
        <v/>
      </c>
      <c r="O153" s="0" t="str">
        <f aca="false">IF(AND($J153="Плановые",OR(Главная!$F$6="Все",$B153=Главная!$F$6),OR(Главная!$F$7="Все",$C153=Главная!$F$7)),$L153,"")</f>
        <v/>
      </c>
      <c r="P153" s="0" t="str">
        <f aca="false">IF(J153="Выполнено",ROW(),"")</f>
        <v/>
      </c>
    </row>
    <row r="154" customFormat="false" ht="21.75" hidden="false" customHeight="true" outlineLevel="0" collapsed="false">
      <c r="A154" s="31"/>
      <c r="B154" s="31"/>
      <c r="C154" s="32"/>
      <c r="D154" s="32"/>
      <c r="E154" s="33"/>
      <c r="F154" s="33"/>
      <c r="G154" s="32"/>
      <c r="H154" s="32"/>
      <c r="I154" s="31"/>
      <c r="J154" s="34" t="str">
        <f aca="true">IF(TRIM(A154)="","",IF(D154="Выполнено","Выполнено",IF(OR(C154="Срочно",AND(F154&lt;&gt;"",F154&lt;=TODAY())),"Срочные",IF(OR(D154="Отложено",C154="Низкий",AND(F154&lt;&gt;"",F154&gt;TODAY()+Справочники!$H$2)),"Плановые","Текущие"))))</f>
        <v/>
      </c>
      <c r="K154" s="35" t="str">
        <f aca="true">IF(OR(A154="",D154="Выполнено"),"",IF(F154="",IF(AND(G154&lt;&gt;"",G154&lt;&gt;"Разово"),"↻ "&amp;G154,""),IF(F154&lt;TODAY(),"Просрочено на "&amp;(TODAY()-F154)&amp;" дн.",IF(F154=TODAY(),"Сегодня",IF(F154=TODAY()+1,"Завтра","Через "&amp;(F154-TODAY())&amp;" дн.")))))</f>
        <v/>
      </c>
      <c r="L154" s="0" t="str">
        <f aca="true">IF(J154="","",(IF(AND(F154&lt;&gt;"",F154&lt;TODAY()),0,1)*10000000+IFERROR(MATCH(C154,{"Срочно","Высокий","Средний","Низкий"},0),5)*100000+IF(F154="",99999,F154))*1000+ROW())</f>
        <v/>
      </c>
      <c r="M154" s="0" t="str">
        <f aca="false">IF(AND($J154="Срочные",OR(Главная!$F$6="Все",$B154=Главная!$F$6),OR(Главная!$F$7="Все",$C154=Главная!$F$7)),$L154,"")</f>
        <v/>
      </c>
      <c r="N154" s="0" t="str">
        <f aca="false">IF(AND($J154="Текущие",OR(Главная!$F$6="Все",$B154=Главная!$F$6),OR(Главная!$F$7="Все",$C154=Главная!$F$7)),$L154,"")</f>
        <v/>
      </c>
      <c r="O154" s="0" t="str">
        <f aca="false">IF(AND($J154="Плановые",OR(Главная!$F$6="Все",$B154=Главная!$F$6),OR(Главная!$F$7="Все",$C154=Главная!$F$7)),$L154,"")</f>
        <v/>
      </c>
      <c r="P154" s="0" t="str">
        <f aca="false">IF(J154="Выполнено",ROW(),"")</f>
        <v/>
      </c>
    </row>
    <row r="155" customFormat="false" ht="21.75" hidden="false" customHeight="true" outlineLevel="0" collapsed="false">
      <c r="A155" s="31"/>
      <c r="B155" s="31"/>
      <c r="C155" s="32"/>
      <c r="D155" s="32"/>
      <c r="E155" s="33"/>
      <c r="F155" s="33"/>
      <c r="G155" s="32"/>
      <c r="H155" s="32"/>
      <c r="I155" s="31"/>
      <c r="J155" s="34" t="str">
        <f aca="true">IF(TRIM(A155)="","",IF(D155="Выполнено","Выполнено",IF(OR(C155="Срочно",AND(F155&lt;&gt;"",F155&lt;=TODAY())),"Срочные",IF(OR(D155="Отложено",C155="Низкий",AND(F155&lt;&gt;"",F155&gt;TODAY()+Справочники!$H$2)),"Плановые","Текущие"))))</f>
        <v/>
      </c>
      <c r="K155" s="35" t="str">
        <f aca="true">IF(OR(A155="",D155="Выполнено"),"",IF(F155="",IF(AND(G155&lt;&gt;"",G155&lt;&gt;"Разово"),"↻ "&amp;G155,""),IF(F155&lt;TODAY(),"Просрочено на "&amp;(TODAY()-F155)&amp;" дн.",IF(F155=TODAY(),"Сегодня",IF(F155=TODAY()+1,"Завтра","Через "&amp;(F155-TODAY())&amp;" дн.")))))</f>
        <v/>
      </c>
      <c r="L155" s="0" t="str">
        <f aca="true">IF(J155="","",(IF(AND(F155&lt;&gt;"",F155&lt;TODAY()),0,1)*10000000+IFERROR(MATCH(C155,{"Срочно","Высокий","Средний","Низкий"},0),5)*100000+IF(F155="",99999,F155))*1000+ROW())</f>
        <v/>
      </c>
      <c r="M155" s="0" t="str">
        <f aca="false">IF(AND($J155="Срочные",OR(Главная!$F$6="Все",$B155=Главная!$F$6),OR(Главная!$F$7="Все",$C155=Главная!$F$7)),$L155,"")</f>
        <v/>
      </c>
      <c r="N155" s="0" t="str">
        <f aca="false">IF(AND($J155="Текущие",OR(Главная!$F$6="Все",$B155=Главная!$F$6),OR(Главная!$F$7="Все",$C155=Главная!$F$7)),$L155,"")</f>
        <v/>
      </c>
      <c r="O155" s="0" t="str">
        <f aca="false">IF(AND($J155="Плановые",OR(Главная!$F$6="Все",$B155=Главная!$F$6),OR(Главная!$F$7="Все",$C155=Главная!$F$7)),$L155,"")</f>
        <v/>
      </c>
      <c r="P155" s="0" t="str">
        <f aca="false">IF(J155="Выполнено",ROW(),"")</f>
        <v/>
      </c>
    </row>
    <row r="156" customFormat="false" ht="21.75" hidden="false" customHeight="true" outlineLevel="0" collapsed="false">
      <c r="A156" s="31"/>
      <c r="B156" s="31"/>
      <c r="C156" s="32"/>
      <c r="D156" s="32"/>
      <c r="E156" s="33"/>
      <c r="F156" s="33"/>
      <c r="G156" s="32"/>
      <c r="H156" s="32"/>
      <c r="I156" s="31"/>
      <c r="J156" s="34" t="str">
        <f aca="true">IF(TRIM(A156)="","",IF(D156="Выполнено","Выполнено",IF(OR(C156="Срочно",AND(F156&lt;&gt;"",F156&lt;=TODAY())),"Срочные",IF(OR(D156="Отложено",C156="Низкий",AND(F156&lt;&gt;"",F156&gt;TODAY()+Справочники!$H$2)),"Плановые","Текущие"))))</f>
        <v/>
      </c>
      <c r="K156" s="35" t="str">
        <f aca="true">IF(OR(A156="",D156="Выполнено"),"",IF(F156="",IF(AND(G156&lt;&gt;"",G156&lt;&gt;"Разово"),"↻ "&amp;G156,""),IF(F156&lt;TODAY(),"Просрочено на "&amp;(TODAY()-F156)&amp;" дн.",IF(F156=TODAY(),"Сегодня",IF(F156=TODAY()+1,"Завтра","Через "&amp;(F156-TODAY())&amp;" дн.")))))</f>
        <v/>
      </c>
      <c r="L156" s="0" t="str">
        <f aca="true">IF(J156="","",(IF(AND(F156&lt;&gt;"",F156&lt;TODAY()),0,1)*10000000+IFERROR(MATCH(C156,{"Срочно","Высокий","Средний","Низкий"},0),5)*100000+IF(F156="",99999,F156))*1000+ROW())</f>
        <v/>
      </c>
      <c r="M156" s="0" t="str">
        <f aca="false">IF(AND($J156="Срочные",OR(Главная!$F$6="Все",$B156=Главная!$F$6),OR(Главная!$F$7="Все",$C156=Главная!$F$7)),$L156,"")</f>
        <v/>
      </c>
      <c r="N156" s="0" t="str">
        <f aca="false">IF(AND($J156="Текущие",OR(Главная!$F$6="Все",$B156=Главная!$F$6),OR(Главная!$F$7="Все",$C156=Главная!$F$7)),$L156,"")</f>
        <v/>
      </c>
      <c r="O156" s="0" t="str">
        <f aca="false">IF(AND($J156="Плановые",OR(Главная!$F$6="Все",$B156=Главная!$F$6),OR(Главная!$F$7="Все",$C156=Главная!$F$7)),$L156,"")</f>
        <v/>
      </c>
      <c r="P156" s="0" t="str">
        <f aca="false">IF(J156="Выполнено",ROW(),"")</f>
        <v/>
      </c>
    </row>
    <row r="157" customFormat="false" ht="21.75" hidden="false" customHeight="true" outlineLevel="0" collapsed="false">
      <c r="A157" s="31"/>
      <c r="B157" s="31"/>
      <c r="C157" s="32"/>
      <c r="D157" s="32"/>
      <c r="E157" s="33"/>
      <c r="F157" s="33"/>
      <c r="G157" s="32"/>
      <c r="H157" s="32"/>
      <c r="I157" s="31"/>
      <c r="J157" s="34" t="str">
        <f aca="true">IF(TRIM(A157)="","",IF(D157="Выполнено","Выполнено",IF(OR(C157="Срочно",AND(F157&lt;&gt;"",F157&lt;=TODAY())),"Срочные",IF(OR(D157="Отложено",C157="Низкий",AND(F157&lt;&gt;"",F157&gt;TODAY()+Справочники!$H$2)),"Плановые","Текущие"))))</f>
        <v/>
      </c>
      <c r="K157" s="35" t="str">
        <f aca="true">IF(OR(A157="",D157="Выполнено"),"",IF(F157="",IF(AND(G157&lt;&gt;"",G157&lt;&gt;"Разово"),"↻ "&amp;G157,""),IF(F157&lt;TODAY(),"Просрочено на "&amp;(TODAY()-F157)&amp;" дн.",IF(F157=TODAY(),"Сегодня",IF(F157=TODAY()+1,"Завтра","Через "&amp;(F157-TODAY())&amp;" дн.")))))</f>
        <v/>
      </c>
      <c r="L157" s="0" t="str">
        <f aca="true">IF(J157="","",(IF(AND(F157&lt;&gt;"",F157&lt;TODAY()),0,1)*10000000+IFERROR(MATCH(C157,{"Срочно","Высокий","Средний","Низкий"},0),5)*100000+IF(F157="",99999,F157))*1000+ROW())</f>
        <v/>
      </c>
      <c r="M157" s="0" t="str">
        <f aca="false">IF(AND($J157="Срочные",OR(Главная!$F$6="Все",$B157=Главная!$F$6),OR(Главная!$F$7="Все",$C157=Главная!$F$7)),$L157,"")</f>
        <v/>
      </c>
      <c r="N157" s="0" t="str">
        <f aca="false">IF(AND($J157="Текущие",OR(Главная!$F$6="Все",$B157=Главная!$F$6),OR(Главная!$F$7="Все",$C157=Главная!$F$7)),$L157,"")</f>
        <v/>
      </c>
      <c r="O157" s="0" t="str">
        <f aca="false">IF(AND($J157="Плановые",OR(Главная!$F$6="Все",$B157=Главная!$F$6),OR(Главная!$F$7="Все",$C157=Главная!$F$7)),$L157,"")</f>
        <v/>
      </c>
      <c r="P157" s="0" t="str">
        <f aca="false">IF(J157="Выполнено",ROW(),"")</f>
        <v/>
      </c>
    </row>
    <row r="158" customFormat="false" ht="21.75" hidden="false" customHeight="true" outlineLevel="0" collapsed="false">
      <c r="A158" s="31"/>
      <c r="B158" s="31"/>
      <c r="C158" s="32"/>
      <c r="D158" s="32"/>
      <c r="E158" s="33"/>
      <c r="F158" s="33"/>
      <c r="G158" s="32"/>
      <c r="H158" s="32"/>
      <c r="I158" s="31"/>
      <c r="J158" s="34" t="str">
        <f aca="true">IF(TRIM(A158)="","",IF(D158="Выполнено","Выполнено",IF(OR(C158="Срочно",AND(F158&lt;&gt;"",F158&lt;=TODAY())),"Срочные",IF(OR(D158="Отложено",C158="Низкий",AND(F158&lt;&gt;"",F158&gt;TODAY()+Справочники!$H$2)),"Плановые","Текущие"))))</f>
        <v/>
      </c>
      <c r="K158" s="35" t="str">
        <f aca="true">IF(OR(A158="",D158="Выполнено"),"",IF(F158="",IF(AND(G158&lt;&gt;"",G158&lt;&gt;"Разово"),"↻ "&amp;G158,""),IF(F158&lt;TODAY(),"Просрочено на "&amp;(TODAY()-F158)&amp;" дн.",IF(F158=TODAY(),"Сегодня",IF(F158=TODAY()+1,"Завтра","Через "&amp;(F158-TODAY())&amp;" дн.")))))</f>
        <v/>
      </c>
      <c r="L158" s="0" t="str">
        <f aca="true">IF(J158="","",(IF(AND(F158&lt;&gt;"",F158&lt;TODAY()),0,1)*10000000+IFERROR(MATCH(C158,{"Срочно","Высокий","Средний","Низкий"},0),5)*100000+IF(F158="",99999,F158))*1000+ROW())</f>
        <v/>
      </c>
      <c r="M158" s="0" t="str">
        <f aca="false">IF(AND($J158="Срочные",OR(Главная!$F$6="Все",$B158=Главная!$F$6),OR(Главная!$F$7="Все",$C158=Главная!$F$7)),$L158,"")</f>
        <v/>
      </c>
      <c r="N158" s="0" t="str">
        <f aca="false">IF(AND($J158="Текущие",OR(Главная!$F$6="Все",$B158=Главная!$F$6),OR(Главная!$F$7="Все",$C158=Главная!$F$7)),$L158,"")</f>
        <v/>
      </c>
      <c r="O158" s="0" t="str">
        <f aca="false">IF(AND($J158="Плановые",OR(Главная!$F$6="Все",$B158=Главная!$F$6),OR(Главная!$F$7="Все",$C158=Главная!$F$7)),$L158,"")</f>
        <v/>
      </c>
      <c r="P158" s="0" t="str">
        <f aca="false">IF(J158="Выполнено",ROW(),"")</f>
        <v/>
      </c>
    </row>
    <row r="159" customFormat="false" ht="21.75" hidden="false" customHeight="true" outlineLevel="0" collapsed="false">
      <c r="A159" s="31"/>
      <c r="B159" s="31"/>
      <c r="C159" s="32"/>
      <c r="D159" s="32"/>
      <c r="E159" s="33"/>
      <c r="F159" s="33"/>
      <c r="G159" s="32"/>
      <c r="H159" s="32"/>
      <c r="I159" s="31"/>
      <c r="J159" s="34" t="str">
        <f aca="true">IF(TRIM(A159)="","",IF(D159="Выполнено","Выполнено",IF(OR(C159="Срочно",AND(F159&lt;&gt;"",F159&lt;=TODAY())),"Срочные",IF(OR(D159="Отложено",C159="Низкий",AND(F159&lt;&gt;"",F159&gt;TODAY()+Справочники!$H$2)),"Плановые","Текущие"))))</f>
        <v/>
      </c>
      <c r="K159" s="35" t="str">
        <f aca="true">IF(OR(A159="",D159="Выполнено"),"",IF(F159="",IF(AND(G159&lt;&gt;"",G159&lt;&gt;"Разово"),"↻ "&amp;G159,""),IF(F159&lt;TODAY(),"Просрочено на "&amp;(TODAY()-F159)&amp;" дн.",IF(F159=TODAY(),"Сегодня",IF(F159=TODAY()+1,"Завтра","Через "&amp;(F159-TODAY())&amp;" дн.")))))</f>
        <v/>
      </c>
      <c r="L159" s="0" t="str">
        <f aca="true">IF(J159="","",(IF(AND(F159&lt;&gt;"",F159&lt;TODAY()),0,1)*10000000+IFERROR(MATCH(C159,{"Срочно","Высокий","Средний","Низкий"},0),5)*100000+IF(F159="",99999,F159))*1000+ROW())</f>
        <v/>
      </c>
      <c r="M159" s="0" t="str">
        <f aca="false">IF(AND($J159="Срочные",OR(Главная!$F$6="Все",$B159=Главная!$F$6),OR(Главная!$F$7="Все",$C159=Главная!$F$7)),$L159,"")</f>
        <v/>
      </c>
      <c r="N159" s="0" t="str">
        <f aca="false">IF(AND($J159="Текущие",OR(Главная!$F$6="Все",$B159=Главная!$F$6),OR(Главная!$F$7="Все",$C159=Главная!$F$7)),$L159,"")</f>
        <v/>
      </c>
      <c r="O159" s="0" t="str">
        <f aca="false">IF(AND($J159="Плановые",OR(Главная!$F$6="Все",$B159=Главная!$F$6),OR(Главная!$F$7="Все",$C159=Главная!$F$7)),$L159,"")</f>
        <v/>
      </c>
      <c r="P159" s="0" t="str">
        <f aca="false">IF(J159="Выполнено",ROW(),"")</f>
        <v/>
      </c>
    </row>
    <row r="160" customFormat="false" ht="21.75" hidden="false" customHeight="true" outlineLevel="0" collapsed="false">
      <c r="A160" s="31"/>
      <c r="B160" s="31"/>
      <c r="C160" s="32"/>
      <c r="D160" s="32"/>
      <c r="E160" s="33"/>
      <c r="F160" s="33"/>
      <c r="G160" s="32"/>
      <c r="H160" s="32"/>
      <c r="I160" s="31"/>
      <c r="J160" s="34" t="str">
        <f aca="true">IF(TRIM(A160)="","",IF(D160="Выполнено","Выполнено",IF(OR(C160="Срочно",AND(F160&lt;&gt;"",F160&lt;=TODAY())),"Срочные",IF(OR(D160="Отложено",C160="Низкий",AND(F160&lt;&gt;"",F160&gt;TODAY()+Справочники!$H$2)),"Плановые","Текущие"))))</f>
        <v/>
      </c>
      <c r="K160" s="35" t="str">
        <f aca="true">IF(OR(A160="",D160="Выполнено"),"",IF(F160="",IF(AND(G160&lt;&gt;"",G160&lt;&gt;"Разово"),"↻ "&amp;G160,""),IF(F160&lt;TODAY(),"Просрочено на "&amp;(TODAY()-F160)&amp;" дн.",IF(F160=TODAY(),"Сегодня",IF(F160=TODAY()+1,"Завтра","Через "&amp;(F160-TODAY())&amp;" дн.")))))</f>
        <v/>
      </c>
      <c r="L160" s="0" t="str">
        <f aca="true">IF(J160="","",(IF(AND(F160&lt;&gt;"",F160&lt;TODAY()),0,1)*10000000+IFERROR(MATCH(C160,{"Срочно","Высокий","Средний","Низкий"},0),5)*100000+IF(F160="",99999,F160))*1000+ROW())</f>
        <v/>
      </c>
      <c r="M160" s="0" t="str">
        <f aca="false">IF(AND($J160="Срочные",OR(Главная!$F$6="Все",$B160=Главная!$F$6),OR(Главная!$F$7="Все",$C160=Главная!$F$7)),$L160,"")</f>
        <v/>
      </c>
      <c r="N160" s="0" t="str">
        <f aca="false">IF(AND($J160="Текущие",OR(Главная!$F$6="Все",$B160=Главная!$F$6),OR(Главная!$F$7="Все",$C160=Главная!$F$7)),$L160,"")</f>
        <v/>
      </c>
      <c r="O160" s="0" t="str">
        <f aca="false">IF(AND($J160="Плановые",OR(Главная!$F$6="Все",$B160=Главная!$F$6),OR(Главная!$F$7="Все",$C160=Главная!$F$7)),$L160,"")</f>
        <v/>
      </c>
      <c r="P160" s="0" t="str">
        <f aca="false">IF(J160="Выполнено",ROW(),"")</f>
        <v/>
      </c>
    </row>
    <row r="161" customFormat="false" ht="21.75" hidden="false" customHeight="true" outlineLevel="0" collapsed="false">
      <c r="A161" s="31"/>
      <c r="B161" s="31"/>
      <c r="C161" s="32"/>
      <c r="D161" s="32"/>
      <c r="E161" s="33"/>
      <c r="F161" s="33"/>
      <c r="G161" s="32"/>
      <c r="H161" s="32"/>
      <c r="I161" s="31"/>
      <c r="J161" s="34" t="str">
        <f aca="true">IF(TRIM(A161)="","",IF(D161="Выполнено","Выполнено",IF(OR(C161="Срочно",AND(F161&lt;&gt;"",F161&lt;=TODAY())),"Срочные",IF(OR(D161="Отложено",C161="Низкий",AND(F161&lt;&gt;"",F161&gt;TODAY()+Справочники!$H$2)),"Плановые","Текущие"))))</f>
        <v/>
      </c>
      <c r="K161" s="35" t="str">
        <f aca="true">IF(OR(A161="",D161="Выполнено"),"",IF(F161="",IF(AND(G161&lt;&gt;"",G161&lt;&gt;"Разово"),"↻ "&amp;G161,""),IF(F161&lt;TODAY(),"Просрочено на "&amp;(TODAY()-F161)&amp;" дн.",IF(F161=TODAY(),"Сегодня",IF(F161=TODAY()+1,"Завтра","Через "&amp;(F161-TODAY())&amp;" дн.")))))</f>
        <v/>
      </c>
      <c r="L161" s="0" t="str">
        <f aca="true">IF(J161="","",(IF(AND(F161&lt;&gt;"",F161&lt;TODAY()),0,1)*10000000+IFERROR(MATCH(C161,{"Срочно","Высокий","Средний","Низкий"},0),5)*100000+IF(F161="",99999,F161))*1000+ROW())</f>
        <v/>
      </c>
      <c r="M161" s="0" t="str">
        <f aca="false">IF(AND($J161="Срочные",OR(Главная!$F$6="Все",$B161=Главная!$F$6),OR(Главная!$F$7="Все",$C161=Главная!$F$7)),$L161,"")</f>
        <v/>
      </c>
      <c r="N161" s="0" t="str">
        <f aca="false">IF(AND($J161="Текущие",OR(Главная!$F$6="Все",$B161=Главная!$F$6),OR(Главная!$F$7="Все",$C161=Главная!$F$7)),$L161,"")</f>
        <v/>
      </c>
      <c r="O161" s="0" t="str">
        <f aca="false">IF(AND($J161="Плановые",OR(Главная!$F$6="Все",$B161=Главная!$F$6),OR(Главная!$F$7="Все",$C161=Главная!$F$7)),$L161,"")</f>
        <v/>
      </c>
      <c r="P161" s="0" t="str">
        <f aca="false">IF(J161="Выполнено",ROW(),"")</f>
        <v/>
      </c>
    </row>
    <row r="162" customFormat="false" ht="21.75" hidden="false" customHeight="true" outlineLevel="0" collapsed="false">
      <c r="A162" s="31"/>
      <c r="B162" s="31"/>
      <c r="C162" s="32"/>
      <c r="D162" s="32"/>
      <c r="E162" s="33"/>
      <c r="F162" s="33"/>
      <c r="G162" s="32"/>
      <c r="H162" s="32"/>
      <c r="I162" s="31"/>
      <c r="J162" s="34" t="str">
        <f aca="true">IF(TRIM(A162)="","",IF(D162="Выполнено","Выполнено",IF(OR(C162="Срочно",AND(F162&lt;&gt;"",F162&lt;=TODAY())),"Срочные",IF(OR(D162="Отложено",C162="Низкий",AND(F162&lt;&gt;"",F162&gt;TODAY()+Справочники!$H$2)),"Плановые","Текущие"))))</f>
        <v/>
      </c>
      <c r="K162" s="35" t="str">
        <f aca="true">IF(OR(A162="",D162="Выполнено"),"",IF(F162="",IF(AND(G162&lt;&gt;"",G162&lt;&gt;"Разово"),"↻ "&amp;G162,""),IF(F162&lt;TODAY(),"Просрочено на "&amp;(TODAY()-F162)&amp;" дн.",IF(F162=TODAY(),"Сегодня",IF(F162=TODAY()+1,"Завтра","Через "&amp;(F162-TODAY())&amp;" дн.")))))</f>
        <v/>
      </c>
      <c r="L162" s="0" t="str">
        <f aca="true">IF(J162="","",(IF(AND(F162&lt;&gt;"",F162&lt;TODAY()),0,1)*10000000+IFERROR(MATCH(C162,{"Срочно","Высокий","Средний","Низкий"},0),5)*100000+IF(F162="",99999,F162))*1000+ROW())</f>
        <v/>
      </c>
      <c r="M162" s="0" t="str">
        <f aca="false">IF(AND($J162="Срочные",OR(Главная!$F$6="Все",$B162=Главная!$F$6),OR(Главная!$F$7="Все",$C162=Главная!$F$7)),$L162,"")</f>
        <v/>
      </c>
      <c r="N162" s="0" t="str">
        <f aca="false">IF(AND($J162="Текущие",OR(Главная!$F$6="Все",$B162=Главная!$F$6),OR(Главная!$F$7="Все",$C162=Главная!$F$7)),$L162,"")</f>
        <v/>
      </c>
      <c r="O162" s="0" t="str">
        <f aca="false">IF(AND($J162="Плановые",OR(Главная!$F$6="Все",$B162=Главная!$F$6),OR(Главная!$F$7="Все",$C162=Главная!$F$7)),$L162,"")</f>
        <v/>
      </c>
      <c r="P162" s="0" t="str">
        <f aca="false">IF(J162="Выполнено",ROW(),"")</f>
        <v/>
      </c>
    </row>
    <row r="163" customFormat="false" ht="21.75" hidden="false" customHeight="true" outlineLevel="0" collapsed="false">
      <c r="A163" s="31"/>
      <c r="B163" s="31"/>
      <c r="C163" s="32"/>
      <c r="D163" s="32"/>
      <c r="E163" s="33"/>
      <c r="F163" s="33"/>
      <c r="G163" s="32"/>
      <c r="H163" s="32"/>
      <c r="I163" s="31"/>
      <c r="J163" s="34" t="str">
        <f aca="true">IF(TRIM(A163)="","",IF(D163="Выполнено","Выполнено",IF(OR(C163="Срочно",AND(F163&lt;&gt;"",F163&lt;=TODAY())),"Срочные",IF(OR(D163="Отложено",C163="Низкий",AND(F163&lt;&gt;"",F163&gt;TODAY()+Справочники!$H$2)),"Плановые","Текущие"))))</f>
        <v/>
      </c>
      <c r="K163" s="35" t="str">
        <f aca="true">IF(OR(A163="",D163="Выполнено"),"",IF(F163="",IF(AND(G163&lt;&gt;"",G163&lt;&gt;"Разово"),"↻ "&amp;G163,""),IF(F163&lt;TODAY(),"Просрочено на "&amp;(TODAY()-F163)&amp;" дн.",IF(F163=TODAY(),"Сегодня",IF(F163=TODAY()+1,"Завтра","Через "&amp;(F163-TODAY())&amp;" дн.")))))</f>
        <v/>
      </c>
      <c r="L163" s="0" t="str">
        <f aca="true">IF(J163="","",(IF(AND(F163&lt;&gt;"",F163&lt;TODAY()),0,1)*10000000+IFERROR(MATCH(C163,{"Срочно","Высокий","Средний","Низкий"},0),5)*100000+IF(F163="",99999,F163))*1000+ROW())</f>
        <v/>
      </c>
      <c r="M163" s="0" t="str">
        <f aca="false">IF(AND($J163="Срочные",OR(Главная!$F$6="Все",$B163=Главная!$F$6),OR(Главная!$F$7="Все",$C163=Главная!$F$7)),$L163,"")</f>
        <v/>
      </c>
      <c r="N163" s="0" t="str">
        <f aca="false">IF(AND($J163="Текущие",OR(Главная!$F$6="Все",$B163=Главная!$F$6),OR(Главная!$F$7="Все",$C163=Главная!$F$7)),$L163,"")</f>
        <v/>
      </c>
      <c r="O163" s="0" t="str">
        <f aca="false">IF(AND($J163="Плановые",OR(Главная!$F$6="Все",$B163=Главная!$F$6),OR(Главная!$F$7="Все",$C163=Главная!$F$7)),$L163,"")</f>
        <v/>
      </c>
      <c r="P163" s="0" t="str">
        <f aca="false">IF(J163="Выполнено",ROW(),"")</f>
        <v/>
      </c>
    </row>
    <row r="164" customFormat="false" ht="21.75" hidden="false" customHeight="true" outlineLevel="0" collapsed="false">
      <c r="A164" s="31"/>
      <c r="B164" s="31"/>
      <c r="C164" s="32"/>
      <c r="D164" s="32"/>
      <c r="E164" s="33"/>
      <c r="F164" s="33"/>
      <c r="G164" s="32"/>
      <c r="H164" s="32"/>
      <c r="I164" s="31"/>
      <c r="J164" s="34" t="str">
        <f aca="true">IF(TRIM(A164)="","",IF(D164="Выполнено","Выполнено",IF(OR(C164="Срочно",AND(F164&lt;&gt;"",F164&lt;=TODAY())),"Срочные",IF(OR(D164="Отложено",C164="Низкий",AND(F164&lt;&gt;"",F164&gt;TODAY()+Справочники!$H$2)),"Плановые","Текущие"))))</f>
        <v/>
      </c>
      <c r="K164" s="35" t="str">
        <f aca="true">IF(OR(A164="",D164="Выполнено"),"",IF(F164="",IF(AND(G164&lt;&gt;"",G164&lt;&gt;"Разово"),"↻ "&amp;G164,""),IF(F164&lt;TODAY(),"Просрочено на "&amp;(TODAY()-F164)&amp;" дн.",IF(F164=TODAY(),"Сегодня",IF(F164=TODAY()+1,"Завтра","Через "&amp;(F164-TODAY())&amp;" дн.")))))</f>
        <v/>
      </c>
      <c r="L164" s="0" t="str">
        <f aca="true">IF(J164="","",(IF(AND(F164&lt;&gt;"",F164&lt;TODAY()),0,1)*10000000+IFERROR(MATCH(C164,{"Срочно","Высокий","Средний","Низкий"},0),5)*100000+IF(F164="",99999,F164))*1000+ROW())</f>
        <v/>
      </c>
      <c r="M164" s="0" t="str">
        <f aca="false">IF(AND($J164="Срочные",OR(Главная!$F$6="Все",$B164=Главная!$F$6),OR(Главная!$F$7="Все",$C164=Главная!$F$7)),$L164,"")</f>
        <v/>
      </c>
      <c r="N164" s="0" t="str">
        <f aca="false">IF(AND($J164="Текущие",OR(Главная!$F$6="Все",$B164=Главная!$F$6),OR(Главная!$F$7="Все",$C164=Главная!$F$7)),$L164,"")</f>
        <v/>
      </c>
      <c r="O164" s="0" t="str">
        <f aca="false">IF(AND($J164="Плановые",OR(Главная!$F$6="Все",$B164=Главная!$F$6),OR(Главная!$F$7="Все",$C164=Главная!$F$7)),$L164,"")</f>
        <v/>
      </c>
      <c r="P164" s="0" t="str">
        <f aca="false">IF(J164="Выполнено",ROW(),"")</f>
        <v/>
      </c>
    </row>
    <row r="165" customFormat="false" ht="21.75" hidden="false" customHeight="true" outlineLevel="0" collapsed="false">
      <c r="A165" s="31"/>
      <c r="B165" s="31"/>
      <c r="C165" s="32"/>
      <c r="D165" s="32"/>
      <c r="E165" s="33"/>
      <c r="F165" s="33"/>
      <c r="G165" s="32"/>
      <c r="H165" s="32"/>
      <c r="I165" s="31"/>
      <c r="J165" s="34" t="str">
        <f aca="true">IF(TRIM(A165)="","",IF(D165="Выполнено","Выполнено",IF(OR(C165="Срочно",AND(F165&lt;&gt;"",F165&lt;=TODAY())),"Срочные",IF(OR(D165="Отложено",C165="Низкий",AND(F165&lt;&gt;"",F165&gt;TODAY()+Справочники!$H$2)),"Плановые","Текущие"))))</f>
        <v/>
      </c>
      <c r="K165" s="35" t="str">
        <f aca="true">IF(OR(A165="",D165="Выполнено"),"",IF(F165="",IF(AND(G165&lt;&gt;"",G165&lt;&gt;"Разово"),"↻ "&amp;G165,""),IF(F165&lt;TODAY(),"Просрочено на "&amp;(TODAY()-F165)&amp;" дн.",IF(F165=TODAY(),"Сегодня",IF(F165=TODAY()+1,"Завтра","Через "&amp;(F165-TODAY())&amp;" дн.")))))</f>
        <v/>
      </c>
      <c r="L165" s="0" t="str">
        <f aca="true">IF(J165="","",(IF(AND(F165&lt;&gt;"",F165&lt;TODAY()),0,1)*10000000+IFERROR(MATCH(C165,{"Срочно","Высокий","Средний","Низкий"},0),5)*100000+IF(F165="",99999,F165))*1000+ROW())</f>
        <v/>
      </c>
      <c r="M165" s="0" t="str">
        <f aca="false">IF(AND($J165="Срочные",OR(Главная!$F$6="Все",$B165=Главная!$F$6),OR(Главная!$F$7="Все",$C165=Главная!$F$7)),$L165,"")</f>
        <v/>
      </c>
      <c r="N165" s="0" t="str">
        <f aca="false">IF(AND($J165="Текущие",OR(Главная!$F$6="Все",$B165=Главная!$F$6),OR(Главная!$F$7="Все",$C165=Главная!$F$7)),$L165,"")</f>
        <v/>
      </c>
      <c r="O165" s="0" t="str">
        <f aca="false">IF(AND($J165="Плановые",OR(Главная!$F$6="Все",$B165=Главная!$F$6),OR(Главная!$F$7="Все",$C165=Главная!$F$7)),$L165,"")</f>
        <v/>
      </c>
      <c r="P165" s="0" t="str">
        <f aca="false">IF(J165="Выполнено",ROW(),"")</f>
        <v/>
      </c>
    </row>
    <row r="166" customFormat="false" ht="21.75" hidden="false" customHeight="true" outlineLevel="0" collapsed="false">
      <c r="A166" s="31"/>
      <c r="B166" s="31"/>
      <c r="C166" s="32"/>
      <c r="D166" s="32"/>
      <c r="E166" s="33"/>
      <c r="F166" s="33"/>
      <c r="G166" s="32"/>
      <c r="H166" s="32"/>
      <c r="I166" s="31"/>
      <c r="J166" s="34" t="str">
        <f aca="true">IF(TRIM(A166)="","",IF(D166="Выполнено","Выполнено",IF(OR(C166="Срочно",AND(F166&lt;&gt;"",F166&lt;=TODAY())),"Срочные",IF(OR(D166="Отложено",C166="Низкий",AND(F166&lt;&gt;"",F166&gt;TODAY()+Справочники!$H$2)),"Плановые","Текущие"))))</f>
        <v/>
      </c>
      <c r="K166" s="35" t="str">
        <f aca="true">IF(OR(A166="",D166="Выполнено"),"",IF(F166="",IF(AND(G166&lt;&gt;"",G166&lt;&gt;"Разово"),"↻ "&amp;G166,""),IF(F166&lt;TODAY(),"Просрочено на "&amp;(TODAY()-F166)&amp;" дн.",IF(F166=TODAY(),"Сегодня",IF(F166=TODAY()+1,"Завтра","Через "&amp;(F166-TODAY())&amp;" дн.")))))</f>
        <v/>
      </c>
      <c r="L166" s="0" t="str">
        <f aca="true">IF(J166="","",(IF(AND(F166&lt;&gt;"",F166&lt;TODAY()),0,1)*10000000+IFERROR(MATCH(C166,{"Срочно","Высокий","Средний","Низкий"},0),5)*100000+IF(F166="",99999,F166))*1000+ROW())</f>
        <v/>
      </c>
      <c r="M166" s="0" t="str">
        <f aca="false">IF(AND($J166="Срочные",OR(Главная!$F$6="Все",$B166=Главная!$F$6),OR(Главная!$F$7="Все",$C166=Главная!$F$7)),$L166,"")</f>
        <v/>
      </c>
      <c r="N166" s="0" t="str">
        <f aca="false">IF(AND($J166="Текущие",OR(Главная!$F$6="Все",$B166=Главная!$F$6),OR(Главная!$F$7="Все",$C166=Главная!$F$7)),$L166,"")</f>
        <v/>
      </c>
      <c r="O166" s="0" t="str">
        <f aca="false">IF(AND($J166="Плановые",OR(Главная!$F$6="Все",$B166=Главная!$F$6),OR(Главная!$F$7="Все",$C166=Главная!$F$7)),$L166,"")</f>
        <v/>
      </c>
      <c r="P166" s="0" t="str">
        <f aca="false">IF(J166="Выполнено",ROW(),"")</f>
        <v/>
      </c>
    </row>
    <row r="167" customFormat="false" ht="21.75" hidden="false" customHeight="true" outlineLevel="0" collapsed="false">
      <c r="A167" s="31"/>
      <c r="B167" s="31"/>
      <c r="C167" s="32"/>
      <c r="D167" s="32"/>
      <c r="E167" s="33"/>
      <c r="F167" s="33"/>
      <c r="G167" s="32"/>
      <c r="H167" s="32"/>
      <c r="I167" s="31"/>
      <c r="J167" s="34" t="str">
        <f aca="true">IF(TRIM(A167)="","",IF(D167="Выполнено","Выполнено",IF(OR(C167="Срочно",AND(F167&lt;&gt;"",F167&lt;=TODAY())),"Срочные",IF(OR(D167="Отложено",C167="Низкий",AND(F167&lt;&gt;"",F167&gt;TODAY()+Справочники!$H$2)),"Плановые","Текущие"))))</f>
        <v/>
      </c>
      <c r="K167" s="35" t="str">
        <f aca="true">IF(OR(A167="",D167="Выполнено"),"",IF(F167="",IF(AND(G167&lt;&gt;"",G167&lt;&gt;"Разово"),"↻ "&amp;G167,""),IF(F167&lt;TODAY(),"Просрочено на "&amp;(TODAY()-F167)&amp;" дн.",IF(F167=TODAY(),"Сегодня",IF(F167=TODAY()+1,"Завтра","Через "&amp;(F167-TODAY())&amp;" дн.")))))</f>
        <v/>
      </c>
      <c r="L167" s="0" t="str">
        <f aca="true">IF(J167="","",(IF(AND(F167&lt;&gt;"",F167&lt;TODAY()),0,1)*10000000+IFERROR(MATCH(C167,{"Срочно","Высокий","Средний","Низкий"},0),5)*100000+IF(F167="",99999,F167))*1000+ROW())</f>
        <v/>
      </c>
      <c r="M167" s="0" t="str">
        <f aca="false">IF(AND($J167="Срочные",OR(Главная!$F$6="Все",$B167=Главная!$F$6),OR(Главная!$F$7="Все",$C167=Главная!$F$7)),$L167,"")</f>
        <v/>
      </c>
      <c r="N167" s="0" t="str">
        <f aca="false">IF(AND($J167="Текущие",OR(Главная!$F$6="Все",$B167=Главная!$F$6),OR(Главная!$F$7="Все",$C167=Главная!$F$7)),$L167,"")</f>
        <v/>
      </c>
      <c r="O167" s="0" t="str">
        <f aca="false">IF(AND($J167="Плановые",OR(Главная!$F$6="Все",$B167=Главная!$F$6),OR(Главная!$F$7="Все",$C167=Главная!$F$7)),$L167,"")</f>
        <v/>
      </c>
      <c r="P167" s="0" t="str">
        <f aca="false">IF(J167="Выполнено",ROW(),"")</f>
        <v/>
      </c>
    </row>
    <row r="168" customFormat="false" ht="21.75" hidden="false" customHeight="true" outlineLevel="0" collapsed="false">
      <c r="A168" s="31"/>
      <c r="B168" s="31"/>
      <c r="C168" s="32"/>
      <c r="D168" s="32"/>
      <c r="E168" s="33"/>
      <c r="F168" s="33"/>
      <c r="G168" s="32"/>
      <c r="H168" s="32"/>
      <c r="I168" s="31"/>
      <c r="J168" s="34" t="str">
        <f aca="true">IF(TRIM(A168)="","",IF(D168="Выполнено","Выполнено",IF(OR(C168="Срочно",AND(F168&lt;&gt;"",F168&lt;=TODAY())),"Срочные",IF(OR(D168="Отложено",C168="Низкий",AND(F168&lt;&gt;"",F168&gt;TODAY()+Справочники!$H$2)),"Плановые","Текущие"))))</f>
        <v/>
      </c>
      <c r="K168" s="35" t="str">
        <f aca="true">IF(OR(A168="",D168="Выполнено"),"",IF(F168="",IF(AND(G168&lt;&gt;"",G168&lt;&gt;"Разово"),"↻ "&amp;G168,""),IF(F168&lt;TODAY(),"Просрочено на "&amp;(TODAY()-F168)&amp;" дн.",IF(F168=TODAY(),"Сегодня",IF(F168=TODAY()+1,"Завтра","Через "&amp;(F168-TODAY())&amp;" дн.")))))</f>
        <v/>
      </c>
      <c r="L168" s="0" t="str">
        <f aca="true">IF(J168="","",(IF(AND(F168&lt;&gt;"",F168&lt;TODAY()),0,1)*10000000+IFERROR(MATCH(C168,{"Срочно","Высокий","Средний","Низкий"},0),5)*100000+IF(F168="",99999,F168))*1000+ROW())</f>
        <v/>
      </c>
      <c r="M168" s="0" t="str">
        <f aca="false">IF(AND($J168="Срочные",OR(Главная!$F$6="Все",$B168=Главная!$F$6),OR(Главная!$F$7="Все",$C168=Главная!$F$7)),$L168,"")</f>
        <v/>
      </c>
      <c r="N168" s="0" t="str">
        <f aca="false">IF(AND($J168="Текущие",OR(Главная!$F$6="Все",$B168=Главная!$F$6),OR(Главная!$F$7="Все",$C168=Главная!$F$7)),$L168,"")</f>
        <v/>
      </c>
      <c r="O168" s="0" t="str">
        <f aca="false">IF(AND($J168="Плановые",OR(Главная!$F$6="Все",$B168=Главная!$F$6),OR(Главная!$F$7="Все",$C168=Главная!$F$7)),$L168,"")</f>
        <v/>
      </c>
      <c r="P168" s="0" t="str">
        <f aca="false">IF(J168="Выполнено",ROW(),"")</f>
        <v/>
      </c>
    </row>
    <row r="169" customFormat="false" ht="21.75" hidden="false" customHeight="true" outlineLevel="0" collapsed="false">
      <c r="A169" s="31"/>
      <c r="B169" s="31"/>
      <c r="C169" s="32"/>
      <c r="D169" s="32"/>
      <c r="E169" s="33"/>
      <c r="F169" s="33"/>
      <c r="G169" s="32"/>
      <c r="H169" s="32"/>
      <c r="I169" s="31"/>
      <c r="J169" s="34" t="str">
        <f aca="true">IF(TRIM(A169)="","",IF(D169="Выполнено","Выполнено",IF(OR(C169="Срочно",AND(F169&lt;&gt;"",F169&lt;=TODAY())),"Срочные",IF(OR(D169="Отложено",C169="Низкий",AND(F169&lt;&gt;"",F169&gt;TODAY()+Справочники!$H$2)),"Плановые","Текущие"))))</f>
        <v/>
      </c>
      <c r="K169" s="35" t="str">
        <f aca="true">IF(OR(A169="",D169="Выполнено"),"",IF(F169="",IF(AND(G169&lt;&gt;"",G169&lt;&gt;"Разово"),"↻ "&amp;G169,""),IF(F169&lt;TODAY(),"Просрочено на "&amp;(TODAY()-F169)&amp;" дн.",IF(F169=TODAY(),"Сегодня",IF(F169=TODAY()+1,"Завтра","Через "&amp;(F169-TODAY())&amp;" дн.")))))</f>
        <v/>
      </c>
      <c r="L169" s="0" t="str">
        <f aca="true">IF(J169="","",(IF(AND(F169&lt;&gt;"",F169&lt;TODAY()),0,1)*10000000+IFERROR(MATCH(C169,{"Срочно","Высокий","Средний","Низкий"},0),5)*100000+IF(F169="",99999,F169))*1000+ROW())</f>
        <v/>
      </c>
      <c r="M169" s="0" t="str">
        <f aca="false">IF(AND($J169="Срочные",OR(Главная!$F$6="Все",$B169=Главная!$F$6),OR(Главная!$F$7="Все",$C169=Главная!$F$7)),$L169,"")</f>
        <v/>
      </c>
      <c r="N169" s="0" t="str">
        <f aca="false">IF(AND($J169="Текущие",OR(Главная!$F$6="Все",$B169=Главная!$F$6),OR(Главная!$F$7="Все",$C169=Главная!$F$7)),$L169,"")</f>
        <v/>
      </c>
      <c r="O169" s="0" t="str">
        <f aca="false">IF(AND($J169="Плановые",OR(Главная!$F$6="Все",$B169=Главная!$F$6),OR(Главная!$F$7="Все",$C169=Главная!$F$7)),$L169,"")</f>
        <v/>
      </c>
      <c r="P169" s="0" t="str">
        <f aca="false">IF(J169="Выполнено",ROW(),"")</f>
        <v/>
      </c>
    </row>
    <row r="170" customFormat="false" ht="21.75" hidden="false" customHeight="true" outlineLevel="0" collapsed="false">
      <c r="A170" s="31"/>
      <c r="B170" s="31"/>
      <c r="C170" s="32"/>
      <c r="D170" s="32"/>
      <c r="E170" s="33"/>
      <c r="F170" s="33"/>
      <c r="G170" s="32"/>
      <c r="H170" s="32"/>
      <c r="I170" s="31"/>
      <c r="J170" s="34" t="str">
        <f aca="true">IF(TRIM(A170)="","",IF(D170="Выполнено","Выполнено",IF(OR(C170="Срочно",AND(F170&lt;&gt;"",F170&lt;=TODAY())),"Срочные",IF(OR(D170="Отложено",C170="Низкий",AND(F170&lt;&gt;"",F170&gt;TODAY()+Справочники!$H$2)),"Плановые","Текущие"))))</f>
        <v/>
      </c>
      <c r="K170" s="35" t="str">
        <f aca="true">IF(OR(A170="",D170="Выполнено"),"",IF(F170="",IF(AND(G170&lt;&gt;"",G170&lt;&gt;"Разово"),"↻ "&amp;G170,""),IF(F170&lt;TODAY(),"Просрочено на "&amp;(TODAY()-F170)&amp;" дн.",IF(F170=TODAY(),"Сегодня",IF(F170=TODAY()+1,"Завтра","Через "&amp;(F170-TODAY())&amp;" дн.")))))</f>
        <v/>
      </c>
      <c r="L170" s="0" t="str">
        <f aca="true">IF(J170="","",(IF(AND(F170&lt;&gt;"",F170&lt;TODAY()),0,1)*10000000+IFERROR(MATCH(C170,{"Срочно","Высокий","Средний","Низкий"},0),5)*100000+IF(F170="",99999,F170))*1000+ROW())</f>
        <v/>
      </c>
      <c r="M170" s="0" t="str">
        <f aca="false">IF(AND($J170="Срочные",OR(Главная!$F$6="Все",$B170=Главная!$F$6),OR(Главная!$F$7="Все",$C170=Главная!$F$7)),$L170,"")</f>
        <v/>
      </c>
      <c r="N170" s="0" t="str">
        <f aca="false">IF(AND($J170="Текущие",OR(Главная!$F$6="Все",$B170=Главная!$F$6),OR(Главная!$F$7="Все",$C170=Главная!$F$7)),$L170,"")</f>
        <v/>
      </c>
      <c r="O170" s="0" t="str">
        <f aca="false">IF(AND($J170="Плановые",OR(Главная!$F$6="Все",$B170=Главная!$F$6),OR(Главная!$F$7="Все",$C170=Главная!$F$7)),$L170,"")</f>
        <v/>
      </c>
      <c r="P170" s="0" t="str">
        <f aca="false">IF(J170="Выполнено",ROW(),"")</f>
        <v/>
      </c>
    </row>
    <row r="171" customFormat="false" ht="21.75" hidden="false" customHeight="true" outlineLevel="0" collapsed="false">
      <c r="A171" s="31"/>
      <c r="B171" s="31"/>
      <c r="C171" s="32"/>
      <c r="D171" s="32"/>
      <c r="E171" s="33"/>
      <c r="F171" s="33"/>
      <c r="G171" s="32"/>
      <c r="H171" s="32"/>
      <c r="I171" s="31"/>
      <c r="J171" s="34" t="str">
        <f aca="true">IF(TRIM(A171)="","",IF(D171="Выполнено","Выполнено",IF(OR(C171="Срочно",AND(F171&lt;&gt;"",F171&lt;=TODAY())),"Срочные",IF(OR(D171="Отложено",C171="Низкий",AND(F171&lt;&gt;"",F171&gt;TODAY()+Справочники!$H$2)),"Плановые","Текущие"))))</f>
        <v/>
      </c>
      <c r="K171" s="35" t="str">
        <f aca="true">IF(OR(A171="",D171="Выполнено"),"",IF(F171="",IF(AND(G171&lt;&gt;"",G171&lt;&gt;"Разово"),"↻ "&amp;G171,""),IF(F171&lt;TODAY(),"Просрочено на "&amp;(TODAY()-F171)&amp;" дн.",IF(F171=TODAY(),"Сегодня",IF(F171=TODAY()+1,"Завтра","Через "&amp;(F171-TODAY())&amp;" дн.")))))</f>
        <v/>
      </c>
      <c r="L171" s="0" t="str">
        <f aca="true">IF(J171="","",(IF(AND(F171&lt;&gt;"",F171&lt;TODAY()),0,1)*10000000+IFERROR(MATCH(C171,{"Срочно","Высокий","Средний","Низкий"},0),5)*100000+IF(F171="",99999,F171))*1000+ROW())</f>
        <v/>
      </c>
      <c r="M171" s="0" t="str">
        <f aca="false">IF(AND($J171="Срочные",OR(Главная!$F$6="Все",$B171=Главная!$F$6),OR(Главная!$F$7="Все",$C171=Главная!$F$7)),$L171,"")</f>
        <v/>
      </c>
      <c r="N171" s="0" t="str">
        <f aca="false">IF(AND($J171="Текущие",OR(Главная!$F$6="Все",$B171=Главная!$F$6),OR(Главная!$F$7="Все",$C171=Главная!$F$7)),$L171,"")</f>
        <v/>
      </c>
      <c r="O171" s="0" t="str">
        <f aca="false">IF(AND($J171="Плановые",OR(Главная!$F$6="Все",$B171=Главная!$F$6),OR(Главная!$F$7="Все",$C171=Главная!$F$7)),$L171,"")</f>
        <v/>
      </c>
      <c r="P171" s="0" t="str">
        <f aca="false">IF(J171="Выполнено",ROW(),"")</f>
        <v/>
      </c>
    </row>
    <row r="172" customFormat="false" ht="21.75" hidden="false" customHeight="true" outlineLevel="0" collapsed="false">
      <c r="A172" s="31"/>
      <c r="B172" s="31"/>
      <c r="C172" s="32"/>
      <c r="D172" s="32"/>
      <c r="E172" s="33"/>
      <c r="F172" s="33"/>
      <c r="G172" s="32"/>
      <c r="H172" s="32"/>
      <c r="I172" s="31"/>
      <c r="J172" s="34" t="str">
        <f aca="true">IF(TRIM(A172)="","",IF(D172="Выполнено","Выполнено",IF(OR(C172="Срочно",AND(F172&lt;&gt;"",F172&lt;=TODAY())),"Срочные",IF(OR(D172="Отложено",C172="Низкий",AND(F172&lt;&gt;"",F172&gt;TODAY()+Справочники!$H$2)),"Плановые","Текущие"))))</f>
        <v/>
      </c>
      <c r="K172" s="35" t="str">
        <f aca="true">IF(OR(A172="",D172="Выполнено"),"",IF(F172="",IF(AND(G172&lt;&gt;"",G172&lt;&gt;"Разово"),"↻ "&amp;G172,""),IF(F172&lt;TODAY(),"Просрочено на "&amp;(TODAY()-F172)&amp;" дн.",IF(F172=TODAY(),"Сегодня",IF(F172=TODAY()+1,"Завтра","Через "&amp;(F172-TODAY())&amp;" дн.")))))</f>
        <v/>
      </c>
      <c r="L172" s="0" t="str">
        <f aca="true">IF(J172="","",(IF(AND(F172&lt;&gt;"",F172&lt;TODAY()),0,1)*10000000+IFERROR(MATCH(C172,{"Срочно","Высокий","Средний","Низкий"},0),5)*100000+IF(F172="",99999,F172))*1000+ROW())</f>
        <v/>
      </c>
      <c r="M172" s="0" t="str">
        <f aca="false">IF(AND($J172="Срочные",OR(Главная!$F$6="Все",$B172=Главная!$F$6),OR(Главная!$F$7="Все",$C172=Главная!$F$7)),$L172,"")</f>
        <v/>
      </c>
      <c r="N172" s="0" t="str">
        <f aca="false">IF(AND($J172="Текущие",OR(Главная!$F$6="Все",$B172=Главная!$F$6),OR(Главная!$F$7="Все",$C172=Главная!$F$7)),$L172,"")</f>
        <v/>
      </c>
      <c r="O172" s="0" t="str">
        <f aca="false">IF(AND($J172="Плановые",OR(Главная!$F$6="Все",$B172=Главная!$F$6),OR(Главная!$F$7="Все",$C172=Главная!$F$7)),$L172,"")</f>
        <v/>
      </c>
      <c r="P172" s="0" t="str">
        <f aca="false">IF(J172="Выполнено",ROW(),"")</f>
        <v/>
      </c>
    </row>
    <row r="173" customFormat="false" ht="21.75" hidden="false" customHeight="true" outlineLevel="0" collapsed="false">
      <c r="A173" s="31"/>
      <c r="B173" s="31"/>
      <c r="C173" s="32"/>
      <c r="D173" s="32"/>
      <c r="E173" s="33"/>
      <c r="F173" s="33"/>
      <c r="G173" s="32"/>
      <c r="H173" s="32"/>
      <c r="I173" s="31"/>
      <c r="J173" s="34" t="str">
        <f aca="true">IF(TRIM(A173)="","",IF(D173="Выполнено","Выполнено",IF(OR(C173="Срочно",AND(F173&lt;&gt;"",F173&lt;=TODAY())),"Срочные",IF(OR(D173="Отложено",C173="Низкий",AND(F173&lt;&gt;"",F173&gt;TODAY()+Справочники!$H$2)),"Плановые","Текущие"))))</f>
        <v/>
      </c>
      <c r="K173" s="35" t="str">
        <f aca="true">IF(OR(A173="",D173="Выполнено"),"",IF(F173="",IF(AND(G173&lt;&gt;"",G173&lt;&gt;"Разово"),"↻ "&amp;G173,""),IF(F173&lt;TODAY(),"Просрочено на "&amp;(TODAY()-F173)&amp;" дн.",IF(F173=TODAY(),"Сегодня",IF(F173=TODAY()+1,"Завтра","Через "&amp;(F173-TODAY())&amp;" дн.")))))</f>
        <v/>
      </c>
      <c r="L173" s="0" t="str">
        <f aca="true">IF(J173="","",(IF(AND(F173&lt;&gt;"",F173&lt;TODAY()),0,1)*10000000+IFERROR(MATCH(C173,{"Срочно","Высокий","Средний","Низкий"},0),5)*100000+IF(F173="",99999,F173))*1000+ROW())</f>
        <v/>
      </c>
      <c r="M173" s="0" t="str">
        <f aca="false">IF(AND($J173="Срочные",OR(Главная!$F$6="Все",$B173=Главная!$F$6),OR(Главная!$F$7="Все",$C173=Главная!$F$7)),$L173,"")</f>
        <v/>
      </c>
      <c r="N173" s="0" t="str">
        <f aca="false">IF(AND($J173="Текущие",OR(Главная!$F$6="Все",$B173=Главная!$F$6),OR(Главная!$F$7="Все",$C173=Главная!$F$7)),$L173,"")</f>
        <v/>
      </c>
      <c r="O173" s="0" t="str">
        <f aca="false">IF(AND($J173="Плановые",OR(Главная!$F$6="Все",$B173=Главная!$F$6),OR(Главная!$F$7="Все",$C173=Главная!$F$7)),$L173,"")</f>
        <v/>
      </c>
      <c r="P173" s="0" t="str">
        <f aca="false">IF(J173="Выполнено",ROW(),"")</f>
        <v/>
      </c>
    </row>
    <row r="174" customFormat="false" ht="21.75" hidden="false" customHeight="true" outlineLevel="0" collapsed="false">
      <c r="A174" s="31"/>
      <c r="B174" s="31"/>
      <c r="C174" s="32"/>
      <c r="D174" s="32"/>
      <c r="E174" s="33"/>
      <c r="F174" s="33"/>
      <c r="G174" s="32"/>
      <c r="H174" s="32"/>
      <c r="I174" s="31"/>
      <c r="J174" s="34" t="str">
        <f aca="true">IF(TRIM(A174)="","",IF(D174="Выполнено","Выполнено",IF(OR(C174="Срочно",AND(F174&lt;&gt;"",F174&lt;=TODAY())),"Срочные",IF(OR(D174="Отложено",C174="Низкий",AND(F174&lt;&gt;"",F174&gt;TODAY()+Справочники!$H$2)),"Плановые","Текущие"))))</f>
        <v/>
      </c>
      <c r="K174" s="35" t="str">
        <f aca="true">IF(OR(A174="",D174="Выполнено"),"",IF(F174="",IF(AND(G174&lt;&gt;"",G174&lt;&gt;"Разово"),"↻ "&amp;G174,""),IF(F174&lt;TODAY(),"Просрочено на "&amp;(TODAY()-F174)&amp;" дн.",IF(F174=TODAY(),"Сегодня",IF(F174=TODAY()+1,"Завтра","Через "&amp;(F174-TODAY())&amp;" дн.")))))</f>
        <v/>
      </c>
      <c r="L174" s="0" t="str">
        <f aca="true">IF(J174="","",(IF(AND(F174&lt;&gt;"",F174&lt;TODAY()),0,1)*10000000+IFERROR(MATCH(C174,{"Срочно","Высокий","Средний","Низкий"},0),5)*100000+IF(F174="",99999,F174))*1000+ROW())</f>
        <v/>
      </c>
      <c r="M174" s="0" t="str">
        <f aca="false">IF(AND($J174="Срочные",OR(Главная!$F$6="Все",$B174=Главная!$F$6),OR(Главная!$F$7="Все",$C174=Главная!$F$7)),$L174,"")</f>
        <v/>
      </c>
      <c r="N174" s="0" t="str">
        <f aca="false">IF(AND($J174="Текущие",OR(Главная!$F$6="Все",$B174=Главная!$F$6),OR(Главная!$F$7="Все",$C174=Главная!$F$7)),$L174,"")</f>
        <v/>
      </c>
      <c r="O174" s="0" t="str">
        <f aca="false">IF(AND($J174="Плановые",OR(Главная!$F$6="Все",$B174=Главная!$F$6),OR(Главная!$F$7="Все",$C174=Главная!$F$7)),$L174,"")</f>
        <v/>
      </c>
      <c r="P174" s="0" t="str">
        <f aca="false">IF(J174="Выполнено",ROW(),"")</f>
        <v/>
      </c>
    </row>
    <row r="175" customFormat="false" ht="21.75" hidden="false" customHeight="true" outlineLevel="0" collapsed="false">
      <c r="A175" s="31"/>
      <c r="B175" s="31"/>
      <c r="C175" s="32"/>
      <c r="D175" s="32"/>
      <c r="E175" s="33"/>
      <c r="F175" s="33"/>
      <c r="G175" s="32"/>
      <c r="H175" s="32"/>
      <c r="I175" s="31"/>
      <c r="J175" s="34" t="str">
        <f aca="true">IF(TRIM(A175)="","",IF(D175="Выполнено","Выполнено",IF(OR(C175="Срочно",AND(F175&lt;&gt;"",F175&lt;=TODAY())),"Срочные",IF(OR(D175="Отложено",C175="Низкий",AND(F175&lt;&gt;"",F175&gt;TODAY()+Справочники!$H$2)),"Плановые","Текущие"))))</f>
        <v/>
      </c>
      <c r="K175" s="35" t="str">
        <f aca="true">IF(OR(A175="",D175="Выполнено"),"",IF(F175="",IF(AND(G175&lt;&gt;"",G175&lt;&gt;"Разово"),"↻ "&amp;G175,""),IF(F175&lt;TODAY(),"Просрочено на "&amp;(TODAY()-F175)&amp;" дн.",IF(F175=TODAY(),"Сегодня",IF(F175=TODAY()+1,"Завтра","Через "&amp;(F175-TODAY())&amp;" дн.")))))</f>
        <v/>
      </c>
      <c r="L175" s="0" t="str">
        <f aca="true">IF(J175="","",(IF(AND(F175&lt;&gt;"",F175&lt;TODAY()),0,1)*10000000+IFERROR(MATCH(C175,{"Срочно","Высокий","Средний","Низкий"},0),5)*100000+IF(F175="",99999,F175))*1000+ROW())</f>
        <v/>
      </c>
      <c r="M175" s="0" t="str">
        <f aca="false">IF(AND($J175="Срочные",OR(Главная!$F$6="Все",$B175=Главная!$F$6),OR(Главная!$F$7="Все",$C175=Главная!$F$7)),$L175,"")</f>
        <v/>
      </c>
      <c r="N175" s="0" t="str">
        <f aca="false">IF(AND($J175="Текущие",OR(Главная!$F$6="Все",$B175=Главная!$F$6),OR(Главная!$F$7="Все",$C175=Главная!$F$7)),$L175,"")</f>
        <v/>
      </c>
      <c r="O175" s="0" t="str">
        <f aca="false">IF(AND($J175="Плановые",OR(Главная!$F$6="Все",$B175=Главная!$F$6),OR(Главная!$F$7="Все",$C175=Главная!$F$7)),$L175,"")</f>
        <v/>
      </c>
      <c r="P175" s="0" t="str">
        <f aca="false">IF(J175="Выполнено",ROW(),"")</f>
        <v/>
      </c>
    </row>
    <row r="176" customFormat="false" ht="21.75" hidden="false" customHeight="true" outlineLevel="0" collapsed="false">
      <c r="A176" s="31"/>
      <c r="B176" s="31"/>
      <c r="C176" s="32"/>
      <c r="D176" s="32"/>
      <c r="E176" s="33"/>
      <c r="F176" s="33"/>
      <c r="G176" s="32"/>
      <c r="H176" s="32"/>
      <c r="I176" s="31"/>
      <c r="J176" s="34" t="str">
        <f aca="true">IF(TRIM(A176)="","",IF(D176="Выполнено","Выполнено",IF(OR(C176="Срочно",AND(F176&lt;&gt;"",F176&lt;=TODAY())),"Срочные",IF(OR(D176="Отложено",C176="Низкий",AND(F176&lt;&gt;"",F176&gt;TODAY()+Справочники!$H$2)),"Плановые","Текущие"))))</f>
        <v/>
      </c>
      <c r="K176" s="35" t="str">
        <f aca="true">IF(OR(A176="",D176="Выполнено"),"",IF(F176="",IF(AND(G176&lt;&gt;"",G176&lt;&gt;"Разово"),"↻ "&amp;G176,""),IF(F176&lt;TODAY(),"Просрочено на "&amp;(TODAY()-F176)&amp;" дн.",IF(F176=TODAY(),"Сегодня",IF(F176=TODAY()+1,"Завтра","Через "&amp;(F176-TODAY())&amp;" дн.")))))</f>
        <v/>
      </c>
      <c r="L176" s="0" t="str">
        <f aca="true">IF(J176="","",(IF(AND(F176&lt;&gt;"",F176&lt;TODAY()),0,1)*10000000+IFERROR(MATCH(C176,{"Срочно","Высокий","Средний","Низкий"},0),5)*100000+IF(F176="",99999,F176))*1000+ROW())</f>
        <v/>
      </c>
      <c r="M176" s="0" t="str">
        <f aca="false">IF(AND($J176="Срочные",OR(Главная!$F$6="Все",$B176=Главная!$F$6),OR(Главная!$F$7="Все",$C176=Главная!$F$7)),$L176,"")</f>
        <v/>
      </c>
      <c r="N176" s="0" t="str">
        <f aca="false">IF(AND($J176="Текущие",OR(Главная!$F$6="Все",$B176=Главная!$F$6),OR(Главная!$F$7="Все",$C176=Главная!$F$7)),$L176,"")</f>
        <v/>
      </c>
      <c r="O176" s="0" t="str">
        <f aca="false">IF(AND($J176="Плановые",OR(Главная!$F$6="Все",$B176=Главная!$F$6),OR(Главная!$F$7="Все",$C176=Главная!$F$7)),$L176,"")</f>
        <v/>
      </c>
      <c r="P176" s="0" t="str">
        <f aca="false">IF(J176="Выполнено",ROW(),"")</f>
        <v/>
      </c>
    </row>
    <row r="177" customFormat="false" ht="21.75" hidden="false" customHeight="true" outlineLevel="0" collapsed="false">
      <c r="A177" s="31"/>
      <c r="B177" s="31"/>
      <c r="C177" s="32"/>
      <c r="D177" s="32"/>
      <c r="E177" s="33"/>
      <c r="F177" s="33"/>
      <c r="G177" s="32"/>
      <c r="H177" s="32"/>
      <c r="I177" s="31"/>
      <c r="J177" s="34" t="str">
        <f aca="true">IF(TRIM(A177)="","",IF(D177="Выполнено","Выполнено",IF(OR(C177="Срочно",AND(F177&lt;&gt;"",F177&lt;=TODAY())),"Срочные",IF(OR(D177="Отложено",C177="Низкий",AND(F177&lt;&gt;"",F177&gt;TODAY()+Справочники!$H$2)),"Плановые","Текущие"))))</f>
        <v/>
      </c>
      <c r="K177" s="35" t="str">
        <f aca="true">IF(OR(A177="",D177="Выполнено"),"",IF(F177="",IF(AND(G177&lt;&gt;"",G177&lt;&gt;"Разово"),"↻ "&amp;G177,""),IF(F177&lt;TODAY(),"Просрочено на "&amp;(TODAY()-F177)&amp;" дн.",IF(F177=TODAY(),"Сегодня",IF(F177=TODAY()+1,"Завтра","Через "&amp;(F177-TODAY())&amp;" дн.")))))</f>
        <v/>
      </c>
      <c r="L177" s="0" t="str">
        <f aca="true">IF(J177="","",(IF(AND(F177&lt;&gt;"",F177&lt;TODAY()),0,1)*10000000+IFERROR(MATCH(C177,{"Срочно","Высокий","Средний","Низкий"},0),5)*100000+IF(F177="",99999,F177))*1000+ROW())</f>
        <v/>
      </c>
      <c r="M177" s="0" t="str">
        <f aca="false">IF(AND($J177="Срочные",OR(Главная!$F$6="Все",$B177=Главная!$F$6),OR(Главная!$F$7="Все",$C177=Главная!$F$7)),$L177,"")</f>
        <v/>
      </c>
      <c r="N177" s="0" t="str">
        <f aca="false">IF(AND($J177="Текущие",OR(Главная!$F$6="Все",$B177=Главная!$F$6),OR(Главная!$F$7="Все",$C177=Главная!$F$7)),$L177,"")</f>
        <v/>
      </c>
      <c r="O177" s="0" t="str">
        <f aca="false">IF(AND($J177="Плановые",OR(Главная!$F$6="Все",$B177=Главная!$F$6),OR(Главная!$F$7="Все",$C177=Главная!$F$7)),$L177,"")</f>
        <v/>
      </c>
      <c r="P177" s="0" t="str">
        <f aca="false">IF(J177="Выполнено",ROW(),"")</f>
        <v/>
      </c>
    </row>
    <row r="178" customFormat="false" ht="21.75" hidden="false" customHeight="true" outlineLevel="0" collapsed="false">
      <c r="A178" s="31"/>
      <c r="B178" s="31"/>
      <c r="C178" s="32"/>
      <c r="D178" s="32"/>
      <c r="E178" s="33"/>
      <c r="F178" s="33"/>
      <c r="G178" s="32"/>
      <c r="H178" s="32"/>
      <c r="I178" s="31"/>
      <c r="J178" s="34" t="str">
        <f aca="true">IF(TRIM(A178)="","",IF(D178="Выполнено","Выполнено",IF(OR(C178="Срочно",AND(F178&lt;&gt;"",F178&lt;=TODAY())),"Срочные",IF(OR(D178="Отложено",C178="Низкий",AND(F178&lt;&gt;"",F178&gt;TODAY()+Справочники!$H$2)),"Плановые","Текущие"))))</f>
        <v/>
      </c>
      <c r="K178" s="35" t="str">
        <f aca="true">IF(OR(A178="",D178="Выполнено"),"",IF(F178="",IF(AND(G178&lt;&gt;"",G178&lt;&gt;"Разово"),"↻ "&amp;G178,""),IF(F178&lt;TODAY(),"Просрочено на "&amp;(TODAY()-F178)&amp;" дн.",IF(F178=TODAY(),"Сегодня",IF(F178=TODAY()+1,"Завтра","Через "&amp;(F178-TODAY())&amp;" дн.")))))</f>
        <v/>
      </c>
      <c r="L178" s="0" t="str">
        <f aca="true">IF(J178="","",(IF(AND(F178&lt;&gt;"",F178&lt;TODAY()),0,1)*10000000+IFERROR(MATCH(C178,{"Срочно","Высокий","Средний","Низкий"},0),5)*100000+IF(F178="",99999,F178))*1000+ROW())</f>
        <v/>
      </c>
      <c r="M178" s="0" t="str">
        <f aca="false">IF(AND($J178="Срочные",OR(Главная!$F$6="Все",$B178=Главная!$F$6),OR(Главная!$F$7="Все",$C178=Главная!$F$7)),$L178,"")</f>
        <v/>
      </c>
      <c r="N178" s="0" t="str">
        <f aca="false">IF(AND($J178="Текущие",OR(Главная!$F$6="Все",$B178=Главная!$F$6),OR(Главная!$F$7="Все",$C178=Главная!$F$7)),$L178,"")</f>
        <v/>
      </c>
      <c r="O178" s="0" t="str">
        <f aca="false">IF(AND($J178="Плановые",OR(Главная!$F$6="Все",$B178=Главная!$F$6),OR(Главная!$F$7="Все",$C178=Главная!$F$7)),$L178,"")</f>
        <v/>
      </c>
      <c r="P178" s="0" t="str">
        <f aca="false">IF(J178="Выполнено",ROW(),"")</f>
        <v/>
      </c>
    </row>
    <row r="179" customFormat="false" ht="21.75" hidden="false" customHeight="true" outlineLevel="0" collapsed="false">
      <c r="A179" s="31"/>
      <c r="B179" s="31"/>
      <c r="C179" s="32"/>
      <c r="D179" s="32"/>
      <c r="E179" s="33"/>
      <c r="F179" s="33"/>
      <c r="G179" s="32"/>
      <c r="H179" s="32"/>
      <c r="I179" s="31"/>
      <c r="J179" s="34" t="str">
        <f aca="true">IF(TRIM(A179)="","",IF(D179="Выполнено","Выполнено",IF(OR(C179="Срочно",AND(F179&lt;&gt;"",F179&lt;=TODAY())),"Срочные",IF(OR(D179="Отложено",C179="Низкий",AND(F179&lt;&gt;"",F179&gt;TODAY()+Справочники!$H$2)),"Плановые","Текущие"))))</f>
        <v/>
      </c>
      <c r="K179" s="35" t="str">
        <f aca="true">IF(OR(A179="",D179="Выполнено"),"",IF(F179="",IF(AND(G179&lt;&gt;"",G179&lt;&gt;"Разово"),"↻ "&amp;G179,""),IF(F179&lt;TODAY(),"Просрочено на "&amp;(TODAY()-F179)&amp;" дн.",IF(F179=TODAY(),"Сегодня",IF(F179=TODAY()+1,"Завтра","Через "&amp;(F179-TODAY())&amp;" дн.")))))</f>
        <v/>
      </c>
      <c r="L179" s="0" t="str">
        <f aca="true">IF(J179="","",(IF(AND(F179&lt;&gt;"",F179&lt;TODAY()),0,1)*10000000+IFERROR(MATCH(C179,{"Срочно","Высокий","Средний","Низкий"},0),5)*100000+IF(F179="",99999,F179))*1000+ROW())</f>
        <v/>
      </c>
      <c r="M179" s="0" t="str">
        <f aca="false">IF(AND($J179="Срочные",OR(Главная!$F$6="Все",$B179=Главная!$F$6),OR(Главная!$F$7="Все",$C179=Главная!$F$7)),$L179,"")</f>
        <v/>
      </c>
      <c r="N179" s="0" t="str">
        <f aca="false">IF(AND($J179="Текущие",OR(Главная!$F$6="Все",$B179=Главная!$F$6),OR(Главная!$F$7="Все",$C179=Главная!$F$7)),$L179,"")</f>
        <v/>
      </c>
      <c r="O179" s="0" t="str">
        <f aca="false">IF(AND($J179="Плановые",OR(Главная!$F$6="Все",$B179=Главная!$F$6),OR(Главная!$F$7="Все",$C179=Главная!$F$7)),$L179,"")</f>
        <v/>
      </c>
      <c r="P179" s="0" t="str">
        <f aca="false">IF(J179="Выполнено",ROW(),"")</f>
        <v/>
      </c>
    </row>
    <row r="180" customFormat="false" ht="21.75" hidden="false" customHeight="true" outlineLevel="0" collapsed="false">
      <c r="A180" s="31"/>
      <c r="B180" s="31"/>
      <c r="C180" s="32"/>
      <c r="D180" s="32"/>
      <c r="E180" s="33"/>
      <c r="F180" s="33"/>
      <c r="G180" s="32"/>
      <c r="H180" s="32"/>
      <c r="I180" s="31"/>
      <c r="J180" s="34" t="str">
        <f aca="true">IF(TRIM(A180)="","",IF(D180="Выполнено","Выполнено",IF(OR(C180="Срочно",AND(F180&lt;&gt;"",F180&lt;=TODAY())),"Срочные",IF(OR(D180="Отложено",C180="Низкий",AND(F180&lt;&gt;"",F180&gt;TODAY()+Справочники!$H$2)),"Плановые","Текущие"))))</f>
        <v/>
      </c>
      <c r="K180" s="35" t="str">
        <f aca="true">IF(OR(A180="",D180="Выполнено"),"",IF(F180="",IF(AND(G180&lt;&gt;"",G180&lt;&gt;"Разово"),"↻ "&amp;G180,""),IF(F180&lt;TODAY(),"Просрочено на "&amp;(TODAY()-F180)&amp;" дн.",IF(F180=TODAY(),"Сегодня",IF(F180=TODAY()+1,"Завтра","Через "&amp;(F180-TODAY())&amp;" дн.")))))</f>
        <v/>
      </c>
      <c r="L180" s="0" t="str">
        <f aca="true">IF(J180="","",(IF(AND(F180&lt;&gt;"",F180&lt;TODAY()),0,1)*10000000+IFERROR(MATCH(C180,{"Срочно","Высокий","Средний","Низкий"},0),5)*100000+IF(F180="",99999,F180))*1000+ROW())</f>
        <v/>
      </c>
      <c r="M180" s="0" t="str">
        <f aca="false">IF(AND($J180="Срочные",OR(Главная!$F$6="Все",$B180=Главная!$F$6),OR(Главная!$F$7="Все",$C180=Главная!$F$7)),$L180,"")</f>
        <v/>
      </c>
      <c r="N180" s="0" t="str">
        <f aca="false">IF(AND($J180="Текущие",OR(Главная!$F$6="Все",$B180=Главная!$F$6),OR(Главная!$F$7="Все",$C180=Главная!$F$7)),$L180,"")</f>
        <v/>
      </c>
      <c r="O180" s="0" t="str">
        <f aca="false">IF(AND($J180="Плановые",OR(Главная!$F$6="Все",$B180=Главная!$F$6),OR(Главная!$F$7="Все",$C180=Главная!$F$7)),$L180,"")</f>
        <v/>
      </c>
      <c r="P180" s="0" t="str">
        <f aca="false">IF(J180="Выполнено",ROW(),"")</f>
        <v/>
      </c>
    </row>
    <row r="181" customFormat="false" ht="21.75" hidden="false" customHeight="true" outlineLevel="0" collapsed="false">
      <c r="A181" s="31"/>
      <c r="B181" s="31"/>
      <c r="C181" s="32"/>
      <c r="D181" s="32"/>
      <c r="E181" s="33"/>
      <c r="F181" s="33"/>
      <c r="G181" s="32"/>
      <c r="H181" s="32"/>
      <c r="I181" s="31"/>
      <c r="J181" s="34" t="str">
        <f aca="true">IF(TRIM(A181)="","",IF(D181="Выполнено","Выполнено",IF(OR(C181="Срочно",AND(F181&lt;&gt;"",F181&lt;=TODAY())),"Срочные",IF(OR(D181="Отложено",C181="Низкий",AND(F181&lt;&gt;"",F181&gt;TODAY()+Справочники!$H$2)),"Плановые","Текущие"))))</f>
        <v/>
      </c>
      <c r="K181" s="35" t="str">
        <f aca="true">IF(OR(A181="",D181="Выполнено"),"",IF(F181="",IF(AND(G181&lt;&gt;"",G181&lt;&gt;"Разово"),"↻ "&amp;G181,""),IF(F181&lt;TODAY(),"Просрочено на "&amp;(TODAY()-F181)&amp;" дн.",IF(F181=TODAY(),"Сегодня",IF(F181=TODAY()+1,"Завтра","Через "&amp;(F181-TODAY())&amp;" дн.")))))</f>
        <v/>
      </c>
      <c r="L181" s="0" t="str">
        <f aca="true">IF(J181="","",(IF(AND(F181&lt;&gt;"",F181&lt;TODAY()),0,1)*10000000+IFERROR(MATCH(C181,{"Срочно","Высокий","Средний","Низкий"},0),5)*100000+IF(F181="",99999,F181))*1000+ROW())</f>
        <v/>
      </c>
      <c r="M181" s="0" t="str">
        <f aca="false">IF(AND($J181="Срочные",OR(Главная!$F$6="Все",$B181=Главная!$F$6),OR(Главная!$F$7="Все",$C181=Главная!$F$7)),$L181,"")</f>
        <v/>
      </c>
      <c r="N181" s="0" t="str">
        <f aca="false">IF(AND($J181="Текущие",OR(Главная!$F$6="Все",$B181=Главная!$F$6),OR(Главная!$F$7="Все",$C181=Главная!$F$7)),$L181,"")</f>
        <v/>
      </c>
      <c r="O181" s="0" t="str">
        <f aca="false">IF(AND($J181="Плановые",OR(Главная!$F$6="Все",$B181=Главная!$F$6),OR(Главная!$F$7="Все",$C181=Главная!$F$7)),$L181,"")</f>
        <v/>
      </c>
      <c r="P181" s="0" t="str">
        <f aca="false">IF(J181="Выполнено",ROW(),"")</f>
        <v/>
      </c>
    </row>
    <row r="182" customFormat="false" ht="21.75" hidden="false" customHeight="true" outlineLevel="0" collapsed="false">
      <c r="A182" s="31"/>
      <c r="B182" s="31"/>
      <c r="C182" s="32"/>
      <c r="D182" s="32"/>
      <c r="E182" s="33"/>
      <c r="F182" s="33"/>
      <c r="G182" s="32"/>
      <c r="H182" s="32"/>
      <c r="I182" s="31"/>
      <c r="J182" s="34" t="str">
        <f aca="true">IF(TRIM(A182)="","",IF(D182="Выполнено","Выполнено",IF(OR(C182="Срочно",AND(F182&lt;&gt;"",F182&lt;=TODAY())),"Срочные",IF(OR(D182="Отложено",C182="Низкий",AND(F182&lt;&gt;"",F182&gt;TODAY()+Справочники!$H$2)),"Плановые","Текущие"))))</f>
        <v/>
      </c>
      <c r="K182" s="35" t="str">
        <f aca="true">IF(OR(A182="",D182="Выполнено"),"",IF(F182="",IF(AND(G182&lt;&gt;"",G182&lt;&gt;"Разово"),"↻ "&amp;G182,""),IF(F182&lt;TODAY(),"Просрочено на "&amp;(TODAY()-F182)&amp;" дн.",IF(F182=TODAY(),"Сегодня",IF(F182=TODAY()+1,"Завтра","Через "&amp;(F182-TODAY())&amp;" дн.")))))</f>
        <v/>
      </c>
      <c r="L182" s="0" t="str">
        <f aca="true">IF(J182="","",(IF(AND(F182&lt;&gt;"",F182&lt;TODAY()),0,1)*10000000+IFERROR(MATCH(C182,{"Срочно","Высокий","Средний","Низкий"},0),5)*100000+IF(F182="",99999,F182))*1000+ROW())</f>
        <v/>
      </c>
      <c r="M182" s="0" t="str">
        <f aca="false">IF(AND($J182="Срочные",OR(Главная!$F$6="Все",$B182=Главная!$F$6),OR(Главная!$F$7="Все",$C182=Главная!$F$7)),$L182,"")</f>
        <v/>
      </c>
      <c r="N182" s="0" t="str">
        <f aca="false">IF(AND($J182="Текущие",OR(Главная!$F$6="Все",$B182=Главная!$F$6),OR(Главная!$F$7="Все",$C182=Главная!$F$7)),$L182,"")</f>
        <v/>
      </c>
      <c r="O182" s="0" t="str">
        <f aca="false">IF(AND($J182="Плановые",OR(Главная!$F$6="Все",$B182=Главная!$F$6),OR(Главная!$F$7="Все",$C182=Главная!$F$7)),$L182,"")</f>
        <v/>
      </c>
      <c r="P182" s="0" t="str">
        <f aca="false">IF(J182="Выполнено",ROW(),"")</f>
        <v/>
      </c>
    </row>
    <row r="183" customFormat="false" ht="21.75" hidden="false" customHeight="true" outlineLevel="0" collapsed="false">
      <c r="A183" s="31"/>
      <c r="B183" s="31"/>
      <c r="C183" s="32"/>
      <c r="D183" s="32"/>
      <c r="E183" s="33"/>
      <c r="F183" s="33"/>
      <c r="G183" s="32"/>
      <c r="H183" s="32"/>
      <c r="I183" s="31"/>
      <c r="J183" s="34" t="str">
        <f aca="true">IF(TRIM(A183)="","",IF(D183="Выполнено","Выполнено",IF(OR(C183="Срочно",AND(F183&lt;&gt;"",F183&lt;=TODAY())),"Срочные",IF(OR(D183="Отложено",C183="Низкий",AND(F183&lt;&gt;"",F183&gt;TODAY()+Справочники!$H$2)),"Плановые","Текущие"))))</f>
        <v/>
      </c>
      <c r="K183" s="35" t="str">
        <f aca="true">IF(OR(A183="",D183="Выполнено"),"",IF(F183="",IF(AND(G183&lt;&gt;"",G183&lt;&gt;"Разово"),"↻ "&amp;G183,""),IF(F183&lt;TODAY(),"Просрочено на "&amp;(TODAY()-F183)&amp;" дн.",IF(F183=TODAY(),"Сегодня",IF(F183=TODAY()+1,"Завтра","Через "&amp;(F183-TODAY())&amp;" дн.")))))</f>
        <v/>
      </c>
      <c r="L183" s="0" t="str">
        <f aca="true">IF(J183="","",(IF(AND(F183&lt;&gt;"",F183&lt;TODAY()),0,1)*10000000+IFERROR(MATCH(C183,{"Срочно","Высокий","Средний","Низкий"},0),5)*100000+IF(F183="",99999,F183))*1000+ROW())</f>
        <v/>
      </c>
      <c r="M183" s="0" t="str">
        <f aca="false">IF(AND($J183="Срочные",OR(Главная!$F$6="Все",$B183=Главная!$F$6),OR(Главная!$F$7="Все",$C183=Главная!$F$7)),$L183,"")</f>
        <v/>
      </c>
      <c r="N183" s="0" t="str">
        <f aca="false">IF(AND($J183="Текущие",OR(Главная!$F$6="Все",$B183=Главная!$F$6),OR(Главная!$F$7="Все",$C183=Главная!$F$7)),$L183,"")</f>
        <v/>
      </c>
      <c r="O183" s="0" t="str">
        <f aca="false">IF(AND($J183="Плановые",OR(Главная!$F$6="Все",$B183=Главная!$F$6),OR(Главная!$F$7="Все",$C183=Главная!$F$7)),$L183,"")</f>
        <v/>
      </c>
      <c r="P183" s="0" t="str">
        <f aca="false">IF(J183="Выполнено",ROW(),"")</f>
        <v/>
      </c>
    </row>
    <row r="184" customFormat="false" ht="21.75" hidden="false" customHeight="true" outlineLevel="0" collapsed="false">
      <c r="A184" s="31"/>
      <c r="B184" s="31"/>
      <c r="C184" s="32"/>
      <c r="D184" s="32"/>
      <c r="E184" s="33"/>
      <c r="F184" s="33"/>
      <c r="G184" s="32"/>
      <c r="H184" s="32"/>
      <c r="I184" s="31"/>
      <c r="J184" s="34" t="str">
        <f aca="true">IF(TRIM(A184)="","",IF(D184="Выполнено","Выполнено",IF(OR(C184="Срочно",AND(F184&lt;&gt;"",F184&lt;=TODAY())),"Срочные",IF(OR(D184="Отложено",C184="Низкий",AND(F184&lt;&gt;"",F184&gt;TODAY()+Справочники!$H$2)),"Плановые","Текущие"))))</f>
        <v/>
      </c>
      <c r="K184" s="35" t="str">
        <f aca="true">IF(OR(A184="",D184="Выполнено"),"",IF(F184="",IF(AND(G184&lt;&gt;"",G184&lt;&gt;"Разово"),"↻ "&amp;G184,""),IF(F184&lt;TODAY(),"Просрочено на "&amp;(TODAY()-F184)&amp;" дн.",IF(F184=TODAY(),"Сегодня",IF(F184=TODAY()+1,"Завтра","Через "&amp;(F184-TODAY())&amp;" дн.")))))</f>
        <v/>
      </c>
      <c r="L184" s="0" t="str">
        <f aca="true">IF(J184="","",(IF(AND(F184&lt;&gt;"",F184&lt;TODAY()),0,1)*10000000+IFERROR(MATCH(C184,{"Срочно","Высокий","Средний","Низкий"},0),5)*100000+IF(F184="",99999,F184))*1000+ROW())</f>
        <v/>
      </c>
      <c r="M184" s="0" t="str">
        <f aca="false">IF(AND($J184="Срочные",OR(Главная!$F$6="Все",$B184=Главная!$F$6),OR(Главная!$F$7="Все",$C184=Главная!$F$7)),$L184,"")</f>
        <v/>
      </c>
      <c r="N184" s="0" t="str">
        <f aca="false">IF(AND($J184="Текущие",OR(Главная!$F$6="Все",$B184=Главная!$F$6),OR(Главная!$F$7="Все",$C184=Главная!$F$7)),$L184,"")</f>
        <v/>
      </c>
      <c r="O184" s="0" t="str">
        <f aca="false">IF(AND($J184="Плановые",OR(Главная!$F$6="Все",$B184=Главная!$F$6),OR(Главная!$F$7="Все",$C184=Главная!$F$7)),$L184,"")</f>
        <v/>
      </c>
      <c r="P184" s="0" t="str">
        <f aca="false">IF(J184="Выполнено",ROW(),"")</f>
        <v/>
      </c>
    </row>
    <row r="185" customFormat="false" ht="21.75" hidden="false" customHeight="true" outlineLevel="0" collapsed="false">
      <c r="A185" s="31"/>
      <c r="B185" s="31"/>
      <c r="C185" s="32"/>
      <c r="D185" s="32"/>
      <c r="E185" s="33"/>
      <c r="F185" s="33"/>
      <c r="G185" s="32"/>
      <c r="H185" s="32"/>
      <c r="I185" s="31"/>
      <c r="J185" s="34" t="str">
        <f aca="true">IF(TRIM(A185)="","",IF(D185="Выполнено","Выполнено",IF(OR(C185="Срочно",AND(F185&lt;&gt;"",F185&lt;=TODAY())),"Срочные",IF(OR(D185="Отложено",C185="Низкий",AND(F185&lt;&gt;"",F185&gt;TODAY()+Справочники!$H$2)),"Плановые","Текущие"))))</f>
        <v/>
      </c>
      <c r="K185" s="35" t="str">
        <f aca="true">IF(OR(A185="",D185="Выполнено"),"",IF(F185="",IF(AND(G185&lt;&gt;"",G185&lt;&gt;"Разово"),"↻ "&amp;G185,""),IF(F185&lt;TODAY(),"Просрочено на "&amp;(TODAY()-F185)&amp;" дн.",IF(F185=TODAY(),"Сегодня",IF(F185=TODAY()+1,"Завтра","Через "&amp;(F185-TODAY())&amp;" дн.")))))</f>
        <v/>
      </c>
      <c r="L185" s="0" t="str">
        <f aca="true">IF(J185="","",(IF(AND(F185&lt;&gt;"",F185&lt;TODAY()),0,1)*10000000+IFERROR(MATCH(C185,{"Срочно","Высокий","Средний","Низкий"},0),5)*100000+IF(F185="",99999,F185))*1000+ROW())</f>
        <v/>
      </c>
      <c r="M185" s="0" t="str">
        <f aca="false">IF(AND($J185="Срочные",OR(Главная!$F$6="Все",$B185=Главная!$F$6),OR(Главная!$F$7="Все",$C185=Главная!$F$7)),$L185,"")</f>
        <v/>
      </c>
      <c r="N185" s="0" t="str">
        <f aca="false">IF(AND($J185="Текущие",OR(Главная!$F$6="Все",$B185=Главная!$F$6),OR(Главная!$F$7="Все",$C185=Главная!$F$7)),$L185,"")</f>
        <v/>
      </c>
      <c r="O185" s="0" t="str">
        <f aca="false">IF(AND($J185="Плановые",OR(Главная!$F$6="Все",$B185=Главная!$F$6),OR(Главная!$F$7="Все",$C185=Главная!$F$7)),$L185,"")</f>
        <v/>
      </c>
      <c r="P185" s="0" t="str">
        <f aca="false">IF(J185="Выполнено",ROW(),"")</f>
        <v/>
      </c>
    </row>
    <row r="186" customFormat="false" ht="21.75" hidden="false" customHeight="true" outlineLevel="0" collapsed="false">
      <c r="A186" s="31"/>
      <c r="B186" s="31"/>
      <c r="C186" s="32"/>
      <c r="D186" s="32"/>
      <c r="E186" s="33"/>
      <c r="F186" s="33"/>
      <c r="G186" s="32"/>
      <c r="H186" s="32"/>
      <c r="I186" s="31"/>
      <c r="J186" s="34" t="str">
        <f aca="true">IF(TRIM(A186)="","",IF(D186="Выполнено","Выполнено",IF(OR(C186="Срочно",AND(F186&lt;&gt;"",F186&lt;=TODAY())),"Срочные",IF(OR(D186="Отложено",C186="Низкий",AND(F186&lt;&gt;"",F186&gt;TODAY()+Справочники!$H$2)),"Плановые","Текущие"))))</f>
        <v/>
      </c>
      <c r="K186" s="35" t="str">
        <f aca="true">IF(OR(A186="",D186="Выполнено"),"",IF(F186="",IF(AND(G186&lt;&gt;"",G186&lt;&gt;"Разово"),"↻ "&amp;G186,""),IF(F186&lt;TODAY(),"Просрочено на "&amp;(TODAY()-F186)&amp;" дн.",IF(F186=TODAY(),"Сегодня",IF(F186=TODAY()+1,"Завтра","Через "&amp;(F186-TODAY())&amp;" дн.")))))</f>
        <v/>
      </c>
      <c r="L186" s="0" t="str">
        <f aca="true">IF(J186="","",(IF(AND(F186&lt;&gt;"",F186&lt;TODAY()),0,1)*10000000+IFERROR(MATCH(C186,{"Срочно","Высокий","Средний","Низкий"},0),5)*100000+IF(F186="",99999,F186))*1000+ROW())</f>
        <v/>
      </c>
      <c r="M186" s="0" t="str">
        <f aca="false">IF(AND($J186="Срочные",OR(Главная!$F$6="Все",$B186=Главная!$F$6),OR(Главная!$F$7="Все",$C186=Главная!$F$7)),$L186,"")</f>
        <v/>
      </c>
      <c r="N186" s="0" t="str">
        <f aca="false">IF(AND($J186="Текущие",OR(Главная!$F$6="Все",$B186=Главная!$F$6),OR(Главная!$F$7="Все",$C186=Главная!$F$7)),$L186,"")</f>
        <v/>
      </c>
      <c r="O186" s="0" t="str">
        <f aca="false">IF(AND($J186="Плановые",OR(Главная!$F$6="Все",$B186=Главная!$F$6),OR(Главная!$F$7="Все",$C186=Главная!$F$7)),$L186,"")</f>
        <v/>
      </c>
      <c r="P186" s="0" t="str">
        <f aca="false">IF(J186="Выполнено",ROW(),"")</f>
        <v/>
      </c>
    </row>
    <row r="187" customFormat="false" ht="21.75" hidden="false" customHeight="true" outlineLevel="0" collapsed="false">
      <c r="A187" s="31"/>
      <c r="B187" s="31"/>
      <c r="C187" s="32"/>
      <c r="D187" s="32"/>
      <c r="E187" s="33"/>
      <c r="F187" s="33"/>
      <c r="G187" s="32"/>
      <c r="H187" s="32"/>
      <c r="I187" s="31"/>
      <c r="J187" s="34" t="str">
        <f aca="true">IF(TRIM(A187)="","",IF(D187="Выполнено","Выполнено",IF(OR(C187="Срочно",AND(F187&lt;&gt;"",F187&lt;=TODAY())),"Срочные",IF(OR(D187="Отложено",C187="Низкий",AND(F187&lt;&gt;"",F187&gt;TODAY()+Справочники!$H$2)),"Плановые","Текущие"))))</f>
        <v/>
      </c>
      <c r="K187" s="35" t="str">
        <f aca="true">IF(OR(A187="",D187="Выполнено"),"",IF(F187="",IF(AND(G187&lt;&gt;"",G187&lt;&gt;"Разово"),"↻ "&amp;G187,""),IF(F187&lt;TODAY(),"Просрочено на "&amp;(TODAY()-F187)&amp;" дн.",IF(F187=TODAY(),"Сегодня",IF(F187=TODAY()+1,"Завтра","Через "&amp;(F187-TODAY())&amp;" дн.")))))</f>
        <v/>
      </c>
      <c r="L187" s="0" t="str">
        <f aca="true">IF(J187="","",(IF(AND(F187&lt;&gt;"",F187&lt;TODAY()),0,1)*10000000+IFERROR(MATCH(C187,{"Срочно","Высокий","Средний","Низкий"},0),5)*100000+IF(F187="",99999,F187))*1000+ROW())</f>
        <v/>
      </c>
      <c r="M187" s="0" t="str">
        <f aca="false">IF(AND($J187="Срочные",OR(Главная!$F$6="Все",$B187=Главная!$F$6),OR(Главная!$F$7="Все",$C187=Главная!$F$7)),$L187,"")</f>
        <v/>
      </c>
      <c r="N187" s="0" t="str">
        <f aca="false">IF(AND($J187="Текущие",OR(Главная!$F$6="Все",$B187=Главная!$F$6),OR(Главная!$F$7="Все",$C187=Главная!$F$7)),$L187,"")</f>
        <v/>
      </c>
      <c r="O187" s="0" t="str">
        <f aca="false">IF(AND($J187="Плановые",OR(Главная!$F$6="Все",$B187=Главная!$F$6),OR(Главная!$F$7="Все",$C187=Главная!$F$7)),$L187,"")</f>
        <v/>
      </c>
      <c r="P187" s="0" t="str">
        <f aca="false">IF(J187="Выполнено",ROW(),"")</f>
        <v/>
      </c>
    </row>
    <row r="188" customFormat="false" ht="21.75" hidden="false" customHeight="true" outlineLevel="0" collapsed="false">
      <c r="A188" s="31"/>
      <c r="B188" s="31"/>
      <c r="C188" s="32"/>
      <c r="D188" s="32"/>
      <c r="E188" s="33"/>
      <c r="F188" s="33"/>
      <c r="G188" s="32"/>
      <c r="H188" s="32"/>
      <c r="I188" s="31"/>
      <c r="J188" s="34" t="str">
        <f aca="true">IF(TRIM(A188)="","",IF(D188="Выполнено","Выполнено",IF(OR(C188="Срочно",AND(F188&lt;&gt;"",F188&lt;=TODAY())),"Срочные",IF(OR(D188="Отложено",C188="Низкий",AND(F188&lt;&gt;"",F188&gt;TODAY()+Справочники!$H$2)),"Плановые","Текущие"))))</f>
        <v/>
      </c>
      <c r="K188" s="35" t="str">
        <f aca="true">IF(OR(A188="",D188="Выполнено"),"",IF(F188="",IF(AND(G188&lt;&gt;"",G188&lt;&gt;"Разово"),"↻ "&amp;G188,""),IF(F188&lt;TODAY(),"Просрочено на "&amp;(TODAY()-F188)&amp;" дн.",IF(F188=TODAY(),"Сегодня",IF(F188=TODAY()+1,"Завтра","Через "&amp;(F188-TODAY())&amp;" дн.")))))</f>
        <v/>
      </c>
      <c r="L188" s="0" t="str">
        <f aca="true">IF(J188="","",(IF(AND(F188&lt;&gt;"",F188&lt;TODAY()),0,1)*10000000+IFERROR(MATCH(C188,{"Срочно","Высокий","Средний","Низкий"},0),5)*100000+IF(F188="",99999,F188))*1000+ROW())</f>
        <v/>
      </c>
      <c r="M188" s="0" t="str">
        <f aca="false">IF(AND($J188="Срочные",OR(Главная!$F$6="Все",$B188=Главная!$F$6),OR(Главная!$F$7="Все",$C188=Главная!$F$7)),$L188,"")</f>
        <v/>
      </c>
      <c r="N188" s="0" t="str">
        <f aca="false">IF(AND($J188="Текущие",OR(Главная!$F$6="Все",$B188=Главная!$F$6),OR(Главная!$F$7="Все",$C188=Главная!$F$7)),$L188,"")</f>
        <v/>
      </c>
      <c r="O188" s="0" t="str">
        <f aca="false">IF(AND($J188="Плановые",OR(Главная!$F$6="Все",$B188=Главная!$F$6),OR(Главная!$F$7="Все",$C188=Главная!$F$7)),$L188,"")</f>
        <v/>
      </c>
      <c r="P188" s="0" t="str">
        <f aca="false">IF(J188="Выполнено",ROW(),"")</f>
        <v/>
      </c>
    </row>
    <row r="189" customFormat="false" ht="21.75" hidden="false" customHeight="true" outlineLevel="0" collapsed="false">
      <c r="A189" s="31"/>
      <c r="B189" s="31"/>
      <c r="C189" s="32"/>
      <c r="D189" s="32"/>
      <c r="E189" s="33"/>
      <c r="F189" s="33"/>
      <c r="G189" s="32"/>
      <c r="H189" s="32"/>
      <c r="I189" s="31"/>
      <c r="J189" s="34" t="str">
        <f aca="true">IF(TRIM(A189)="","",IF(D189="Выполнено","Выполнено",IF(OR(C189="Срочно",AND(F189&lt;&gt;"",F189&lt;=TODAY())),"Срочные",IF(OR(D189="Отложено",C189="Низкий",AND(F189&lt;&gt;"",F189&gt;TODAY()+Справочники!$H$2)),"Плановые","Текущие"))))</f>
        <v/>
      </c>
      <c r="K189" s="35" t="str">
        <f aca="true">IF(OR(A189="",D189="Выполнено"),"",IF(F189="",IF(AND(G189&lt;&gt;"",G189&lt;&gt;"Разово"),"↻ "&amp;G189,""),IF(F189&lt;TODAY(),"Просрочено на "&amp;(TODAY()-F189)&amp;" дн.",IF(F189=TODAY(),"Сегодня",IF(F189=TODAY()+1,"Завтра","Через "&amp;(F189-TODAY())&amp;" дн.")))))</f>
        <v/>
      </c>
      <c r="L189" s="0" t="str">
        <f aca="true">IF(J189="","",(IF(AND(F189&lt;&gt;"",F189&lt;TODAY()),0,1)*10000000+IFERROR(MATCH(C189,{"Срочно","Высокий","Средний","Низкий"},0),5)*100000+IF(F189="",99999,F189))*1000+ROW())</f>
        <v/>
      </c>
      <c r="M189" s="0" t="str">
        <f aca="false">IF(AND($J189="Срочные",OR(Главная!$F$6="Все",$B189=Главная!$F$6),OR(Главная!$F$7="Все",$C189=Главная!$F$7)),$L189,"")</f>
        <v/>
      </c>
      <c r="N189" s="0" t="str">
        <f aca="false">IF(AND($J189="Текущие",OR(Главная!$F$6="Все",$B189=Главная!$F$6),OR(Главная!$F$7="Все",$C189=Главная!$F$7)),$L189,"")</f>
        <v/>
      </c>
      <c r="O189" s="0" t="str">
        <f aca="false">IF(AND($J189="Плановые",OR(Главная!$F$6="Все",$B189=Главная!$F$6),OR(Главная!$F$7="Все",$C189=Главная!$F$7)),$L189,"")</f>
        <v/>
      </c>
      <c r="P189" s="0" t="str">
        <f aca="false">IF(J189="Выполнено",ROW(),"")</f>
        <v/>
      </c>
    </row>
    <row r="190" customFormat="false" ht="21.75" hidden="false" customHeight="true" outlineLevel="0" collapsed="false">
      <c r="A190" s="31"/>
      <c r="B190" s="31"/>
      <c r="C190" s="32"/>
      <c r="D190" s="32"/>
      <c r="E190" s="33"/>
      <c r="F190" s="33"/>
      <c r="G190" s="32"/>
      <c r="H190" s="32"/>
      <c r="I190" s="31"/>
      <c r="J190" s="34" t="str">
        <f aca="true">IF(TRIM(A190)="","",IF(D190="Выполнено","Выполнено",IF(OR(C190="Срочно",AND(F190&lt;&gt;"",F190&lt;=TODAY())),"Срочные",IF(OR(D190="Отложено",C190="Низкий",AND(F190&lt;&gt;"",F190&gt;TODAY()+Справочники!$H$2)),"Плановые","Текущие"))))</f>
        <v/>
      </c>
      <c r="K190" s="35" t="str">
        <f aca="true">IF(OR(A190="",D190="Выполнено"),"",IF(F190="",IF(AND(G190&lt;&gt;"",G190&lt;&gt;"Разово"),"↻ "&amp;G190,""),IF(F190&lt;TODAY(),"Просрочено на "&amp;(TODAY()-F190)&amp;" дн.",IF(F190=TODAY(),"Сегодня",IF(F190=TODAY()+1,"Завтра","Через "&amp;(F190-TODAY())&amp;" дн.")))))</f>
        <v/>
      </c>
      <c r="L190" s="0" t="str">
        <f aca="true">IF(J190="","",(IF(AND(F190&lt;&gt;"",F190&lt;TODAY()),0,1)*10000000+IFERROR(MATCH(C190,{"Срочно","Высокий","Средний","Низкий"},0),5)*100000+IF(F190="",99999,F190))*1000+ROW())</f>
        <v/>
      </c>
      <c r="M190" s="0" t="str">
        <f aca="false">IF(AND($J190="Срочные",OR(Главная!$F$6="Все",$B190=Главная!$F$6),OR(Главная!$F$7="Все",$C190=Главная!$F$7)),$L190,"")</f>
        <v/>
      </c>
      <c r="N190" s="0" t="str">
        <f aca="false">IF(AND($J190="Текущие",OR(Главная!$F$6="Все",$B190=Главная!$F$6),OR(Главная!$F$7="Все",$C190=Главная!$F$7)),$L190,"")</f>
        <v/>
      </c>
      <c r="O190" s="0" t="str">
        <f aca="false">IF(AND($J190="Плановые",OR(Главная!$F$6="Все",$B190=Главная!$F$6),OR(Главная!$F$7="Все",$C190=Главная!$F$7)),$L190,"")</f>
        <v/>
      </c>
      <c r="P190" s="0" t="str">
        <f aca="false">IF(J190="Выполнено",ROW(),"")</f>
        <v/>
      </c>
    </row>
    <row r="191" customFormat="false" ht="21.75" hidden="false" customHeight="true" outlineLevel="0" collapsed="false">
      <c r="A191" s="31"/>
      <c r="B191" s="31"/>
      <c r="C191" s="32"/>
      <c r="D191" s="32"/>
      <c r="E191" s="33"/>
      <c r="F191" s="33"/>
      <c r="G191" s="32"/>
      <c r="H191" s="32"/>
      <c r="I191" s="31"/>
      <c r="J191" s="34" t="str">
        <f aca="true">IF(TRIM(A191)="","",IF(D191="Выполнено","Выполнено",IF(OR(C191="Срочно",AND(F191&lt;&gt;"",F191&lt;=TODAY())),"Срочные",IF(OR(D191="Отложено",C191="Низкий",AND(F191&lt;&gt;"",F191&gt;TODAY()+Справочники!$H$2)),"Плановые","Текущие"))))</f>
        <v/>
      </c>
      <c r="K191" s="35" t="str">
        <f aca="true">IF(OR(A191="",D191="Выполнено"),"",IF(F191="",IF(AND(G191&lt;&gt;"",G191&lt;&gt;"Разово"),"↻ "&amp;G191,""),IF(F191&lt;TODAY(),"Просрочено на "&amp;(TODAY()-F191)&amp;" дн.",IF(F191=TODAY(),"Сегодня",IF(F191=TODAY()+1,"Завтра","Через "&amp;(F191-TODAY())&amp;" дн.")))))</f>
        <v/>
      </c>
      <c r="L191" s="0" t="str">
        <f aca="true">IF(J191="","",(IF(AND(F191&lt;&gt;"",F191&lt;TODAY()),0,1)*10000000+IFERROR(MATCH(C191,{"Срочно","Высокий","Средний","Низкий"},0),5)*100000+IF(F191="",99999,F191))*1000+ROW())</f>
        <v/>
      </c>
      <c r="M191" s="0" t="str">
        <f aca="false">IF(AND($J191="Срочные",OR(Главная!$F$6="Все",$B191=Главная!$F$6),OR(Главная!$F$7="Все",$C191=Главная!$F$7)),$L191,"")</f>
        <v/>
      </c>
      <c r="N191" s="0" t="str">
        <f aca="false">IF(AND($J191="Текущие",OR(Главная!$F$6="Все",$B191=Главная!$F$6),OR(Главная!$F$7="Все",$C191=Главная!$F$7)),$L191,"")</f>
        <v/>
      </c>
      <c r="O191" s="0" t="str">
        <f aca="false">IF(AND($J191="Плановые",OR(Главная!$F$6="Все",$B191=Главная!$F$6),OR(Главная!$F$7="Все",$C191=Главная!$F$7)),$L191,"")</f>
        <v/>
      </c>
      <c r="P191" s="0" t="str">
        <f aca="false">IF(J191="Выполнено",ROW(),"")</f>
        <v/>
      </c>
    </row>
    <row r="192" customFormat="false" ht="21.75" hidden="false" customHeight="true" outlineLevel="0" collapsed="false">
      <c r="A192" s="31"/>
      <c r="B192" s="31"/>
      <c r="C192" s="32"/>
      <c r="D192" s="32"/>
      <c r="E192" s="33"/>
      <c r="F192" s="33"/>
      <c r="G192" s="32"/>
      <c r="H192" s="32"/>
      <c r="I192" s="31"/>
      <c r="J192" s="34" t="str">
        <f aca="true">IF(TRIM(A192)="","",IF(D192="Выполнено","Выполнено",IF(OR(C192="Срочно",AND(F192&lt;&gt;"",F192&lt;=TODAY())),"Срочные",IF(OR(D192="Отложено",C192="Низкий",AND(F192&lt;&gt;"",F192&gt;TODAY()+Справочники!$H$2)),"Плановые","Текущие"))))</f>
        <v/>
      </c>
      <c r="K192" s="35" t="str">
        <f aca="true">IF(OR(A192="",D192="Выполнено"),"",IF(F192="",IF(AND(G192&lt;&gt;"",G192&lt;&gt;"Разово"),"↻ "&amp;G192,""),IF(F192&lt;TODAY(),"Просрочено на "&amp;(TODAY()-F192)&amp;" дн.",IF(F192=TODAY(),"Сегодня",IF(F192=TODAY()+1,"Завтра","Через "&amp;(F192-TODAY())&amp;" дн.")))))</f>
        <v/>
      </c>
      <c r="L192" s="0" t="str">
        <f aca="true">IF(J192="","",(IF(AND(F192&lt;&gt;"",F192&lt;TODAY()),0,1)*10000000+IFERROR(MATCH(C192,{"Срочно","Высокий","Средний","Низкий"},0),5)*100000+IF(F192="",99999,F192))*1000+ROW())</f>
        <v/>
      </c>
      <c r="M192" s="0" t="str">
        <f aca="false">IF(AND($J192="Срочные",OR(Главная!$F$6="Все",$B192=Главная!$F$6),OR(Главная!$F$7="Все",$C192=Главная!$F$7)),$L192,"")</f>
        <v/>
      </c>
      <c r="N192" s="0" t="str">
        <f aca="false">IF(AND($J192="Текущие",OR(Главная!$F$6="Все",$B192=Главная!$F$6),OR(Главная!$F$7="Все",$C192=Главная!$F$7)),$L192,"")</f>
        <v/>
      </c>
      <c r="O192" s="0" t="str">
        <f aca="false">IF(AND($J192="Плановые",OR(Главная!$F$6="Все",$B192=Главная!$F$6),OR(Главная!$F$7="Все",$C192=Главная!$F$7)),$L192,"")</f>
        <v/>
      </c>
      <c r="P192" s="0" t="str">
        <f aca="false">IF(J192="Выполнено",ROW(),"")</f>
        <v/>
      </c>
    </row>
    <row r="193" customFormat="false" ht="21.75" hidden="false" customHeight="true" outlineLevel="0" collapsed="false">
      <c r="A193" s="31"/>
      <c r="B193" s="31"/>
      <c r="C193" s="32"/>
      <c r="D193" s="32"/>
      <c r="E193" s="33"/>
      <c r="F193" s="33"/>
      <c r="G193" s="32"/>
      <c r="H193" s="32"/>
      <c r="I193" s="31"/>
      <c r="J193" s="34" t="str">
        <f aca="true">IF(TRIM(A193)="","",IF(D193="Выполнено","Выполнено",IF(OR(C193="Срочно",AND(F193&lt;&gt;"",F193&lt;=TODAY())),"Срочные",IF(OR(D193="Отложено",C193="Низкий",AND(F193&lt;&gt;"",F193&gt;TODAY()+Справочники!$H$2)),"Плановые","Текущие"))))</f>
        <v/>
      </c>
      <c r="K193" s="35" t="str">
        <f aca="true">IF(OR(A193="",D193="Выполнено"),"",IF(F193="",IF(AND(G193&lt;&gt;"",G193&lt;&gt;"Разово"),"↻ "&amp;G193,""),IF(F193&lt;TODAY(),"Просрочено на "&amp;(TODAY()-F193)&amp;" дн.",IF(F193=TODAY(),"Сегодня",IF(F193=TODAY()+1,"Завтра","Через "&amp;(F193-TODAY())&amp;" дн.")))))</f>
        <v/>
      </c>
      <c r="L193" s="0" t="str">
        <f aca="true">IF(J193="","",(IF(AND(F193&lt;&gt;"",F193&lt;TODAY()),0,1)*10000000+IFERROR(MATCH(C193,{"Срочно","Высокий","Средний","Низкий"},0),5)*100000+IF(F193="",99999,F193))*1000+ROW())</f>
        <v/>
      </c>
      <c r="M193" s="0" t="str">
        <f aca="false">IF(AND($J193="Срочные",OR(Главная!$F$6="Все",$B193=Главная!$F$6),OR(Главная!$F$7="Все",$C193=Главная!$F$7)),$L193,"")</f>
        <v/>
      </c>
      <c r="N193" s="0" t="str">
        <f aca="false">IF(AND($J193="Текущие",OR(Главная!$F$6="Все",$B193=Главная!$F$6),OR(Главная!$F$7="Все",$C193=Главная!$F$7)),$L193,"")</f>
        <v/>
      </c>
      <c r="O193" s="0" t="str">
        <f aca="false">IF(AND($J193="Плановые",OR(Главная!$F$6="Все",$B193=Главная!$F$6),OR(Главная!$F$7="Все",$C193=Главная!$F$7)),$L193,"")</f>
        <v/>
      </c>
      <c r="P193" s="0" t="str">
        <f aca="false">IF(J193="Выполнено",ROW(),"")</f>
        <v/>
      </c>
    </row>
    <row r="194" customFormat="false" ht="21.75" hidden="false" customHeight="true" outlineLevel="0" collapsed="false">
      <c r="A194" s="31"/>
      <c r="B194" s="31"/>
      <c r="C194" s="32"/>
      <c r="D194" s="32"/>
      <c r="E194" s="33"/>
      <c r="F194" s="33"/>
      <c r="G194" s="32"/>
      <c r="H194" s="32"/>
      <c r="I194" s="31"/>
      <c r="J194" s="34" t="str">
        <f aca="true">IF(TRIM(A194)="","",IF(D194="Выполнено","Выполнено",IF(OR(C194="Срочно",AND(F194&lt;&gt;"",F194&lt;=TODAY())),"Срочные",IF(OR(D194="Отложено",C194="Низкий",AND(F194&lt;&gt;"",F194&gt;TODAY()+Справочники!$H$2)),"Плановые","Текущие"))))</f>
        <v/>
      </c>
      <c r="K194" s="35" t="str">
        <f aca="true">IF(OR(A194="",D194="Выполнено"),"",IF(F194="",IF(AND(G194&lt;&gt;"",G194&lt;&gt;"Разово"),"↻ "&amp;G194,""),IF(F194&lt;TODAY(),"Просрочено на "&amp;(TODAY()-F194)&amp;" дн.",IF(F194=TODAY(),"Сегодня",IF(F194=TODAY()+1,"Завтра","Через "&amp;(F194-TODAY())&amp;" дн.")))))</f>
        <v/>
      </c>
      <c r="L194" s="0" t="str">
        <f aca="true">IF(J194="","",(IF(AND(F194&lt;&gt;"",F194&lt;TODAY()),0,1)*10000000+IFERROR(MATCH(C194,{"Срочно","Высокий","Средний","Низкий"},0),5)*100000+IF(F194="",99999,F194))*1000+ROW())</f>
        <v/>
      </c>
      <c r="M194" s="0" t="str">
        <f aca="false">IF(AND($J194="Срочные",OR(Главная!$F$6="Все",$B194=Главная!$F$6),OR(Главная!$F$7="Все",$C194=Главная!$F$7)),$L194,"")</f>
        <v/>
      </c>
      <c r="N194" s="0" t="str">
        <f aca="false">IF(AND($J194="Текущие",OR(Главная!$F$6="Все",$B194=Главная!$F$6),OR(Главная!$F$7="Все",$C194=Главная!$F$7)),$L194,"")</f>
        <v/>
      </c>
      <c r="O194" s="0" t="str">
        <f aca="false">IF(AND($J194="Плановые",OR(Главная!$F$6="Все",$B194=Главная!$F$6),OR(Главная!$F$7="Все",$C194=Главная!$F$7)),$L194,"")</f>
        <v/>
      </c>
      <c r="P194" s="0" t="str">
        <f aca="false">IF(J194="Выполнено",ROW(),"")</f>
        <v/>
      </c>
    </row>
    <row r="195" customFormat="false" ht="21.75" hidden="false" customHeight="true" outlineLevel="0" collapsed="false">
      <c r="A195" s="31"/>
      <c r="B195" s="31"/>
      <c r="C195" s="32"/>
      <c r="D195" s="32"/>
      <c r="E195" s="33"/>
      <c r="F195" s="33"/>
      <c r="G195" s="32"/>
      <c r="H195" s="32"/>
      <c r="I195" s="31"/>
      <c r="J195" s="34" t="str">
        <f aca="true">IF(TRIM(A195)="","",IF(D195="Выполнено","Выполнено",IF(OR(C195="Срочно",AND(F195&lt;&gt;"",F195&lt;=TODAY())),"Срочные",IF(OR(D195="Отложено",C195="Низкий",AND(F195&lt;&gt;"",F195&gt;TODAY()+Справочники!$H$2)),"Плановые","Текущие"))))</f>
        <v/>
      </c>
      <c r="K195" s="35" t="str">
        <f aca="true">IF(OR(A195="",D195="Выполнено"),"",IF(F195="",IF(AND(G195&lt;&gt;"",G195&lt;&gt;"Разово"),"↻ "&amp;G195,""),IF(F195&lt;TODAY(),"Просрочено на "&amp;(TODAY()-F195)&amp;" дн.",IF(F195=TODAY(),"Сегодня",IF(F195=TODAY()+1,"Завтра","Через "&amp;(F195-TODAY())&amp;" дн.")))))</f>
        <v/>
      </c>
      <c r="L195" s="0" t="str">
        <f aca="true">IF(J195="","",(IF(AND(F195&lt;&gt;"",F195&lt;TODAY()),0,1)*10000000+IFERROR(MATCH(C195,{"Срочно","Высокий","Средний","Низкий"},0),5)*100000+IF(F195="",99999,F195))*1000+ROW())</f>
        <v/>
      </c>
      <c r="M195" s="0" t="str">
        <f aca="false">IF(AND($J195="Срочные",OR(Главная!$F$6="Все",$B195=Главная!$F$6),OR(Главная!$F$7="Все",$C195=Главная!$F$7)),$L195,"")</f>
        <v/>
      </c>
      <c r="N195" s="0" t="str">
        <f aca="false">IF(AND($J195="Текущие",OR(Главная!$F$6="Все",$B195=Главная!$F$6),OR(Главная!$F$7="Все",$C195=Главная!$F$7)),$L195,"")</f>
        <v/>
      </c>
      <c r="O195" s="0" t="str">
        <f aca="false">IF(AND($J195="Плановые",OR(Главная!$F$6="Все",$B195=Главная!$F$6),OR(Главная!$F$7="Все",$C195=Главная!$F$7)),$L195,"")</f>
        <v/>
      </c>
      <c r="P195" s="0" t="str">
        <f aca="false">IF(J195="Выполнено",ROW(),"")</f>
        <v/>
      </c>
    </row>
    <row r="196" customFormat="false" ht="21.75" hidden="false" customHeight="true" outlineLevel="0" collapsed="false">
      <c r="A196" s="31"/>
      <c r="B196" s="31"/>
      <c r="C196" s="32"/>
      <c r="D196" s="32"/>
      <c r="E196" s="33"/>
      <c r="F196" s="33"/>
      <c r="G196" s="32"/>
      <c r="H196" s="32"/>
      <c r="I196" s="31"/>
      <c r="J196" s="34" t="str">
        <f aca="true">IF(TRIM(A196)="","",IF(D196="Выполнено","Выполнено",IF(OR(C196="Срочно",AND(F196&lt;&gt;"",F196&lt;=TODAY())),"Срочные",IF(OR(D196="Отложено",C196="Низкий",AND(F196&lt;&gt;"",F196&gt;TODAY()+Справочники!$H$2)),"Плановые","Текущие"))))</f>
        <v/>
      </c>
      <c r="K196" s="35" t="str">
        <f aca="true">IF(OR(A196="",D196="Выполнено"),"",IF(F196="",IF(AND(G196&lt;&gt;"",G196&lt;&gt;"Разово"),"↻ "&amp;G196,""),IF(F196&lt;TODAY(),"Просрочено на "&amp;(TODAY()-F196)&amp;" дн.",IF(F196=TODAY(),"Сегодня",IF(F196=TODAY()+1,"Завтра","Через "&amp;(F196-TODAY())&amp;" дн.")))))</f>
        <v/>
      </c>
      <c r="L196" s="0" t="str">
        <f aca="true">IF(J196="","",(IF(AND(F196&lt;&gt;"",F196&lt;TODAY()),0,1)*10000000+IFERROR(MATCH(C196,{"Срочно","Высокий","Средний","Низкий"},0),5)*100000+IF(F196="",99999,F196))*1000+ROW())</f>
        <v/>
      </c>
      <c r="M196" s="0" t="str">
        <f aca="false">IF(AND($J196="Срочные",OR(Главная!$F$6="Все",$B196=Главная!$F$6),OR(Главная!$F$7="Все",$C196=Главная!$F$7)),$L196,"")</f>
        <v/>
      </c>
      <c r="N196" s="0" t="str">
        <f aca="false">IF(AND($J196="Текущие",OR(Главная!$F$6="Все",$B196=Главная!$F$6),OR(Главная!$F$7="Все",$C196=Главная!$F$7)),$L196,"")</f>
        <v/>
      </c>
      <c r="O196" s="0" t="str">
        <f aca="false">IF(AND($J196="Плановые",OR(Главная!$F$6="Все",$B196=Главная!$F$6),OR(Главная!$F$7="Все",$C196=Главная!$F$7)),$L196,"")</f>
        <v/>
      </c>
      <c r="P196" s="0" t="str">
        <f aca="false">IF(J196="Выполнено",ROW(),"")</f>
        <v/>
      </c>
    </row>
    <row r="197" customFormat="false" ht="21.75" hidden="false" customHeight="true" outlineLevel="0" collapsed="false">
      <c r="A197" s="31"/>
      <c r="B197" s="31"/>
      <c r="C197" s="32"/>
      <c r="D197" s="32"/>
      <c r="E197" s="33"/>
      <c r="F197" s="33"/>
      <c r="G197" s="32"/>
      <c r="H197" s="32"/>
      <c r="I197" s="31"/>
      <c r="J197" s="34" t="str">
        <f aca="true">IF(TRIM(A197)="","",IF(D197="Выполнено","Выполнено",IF(OR(C197="Срочно",AND(F197&lt;&gt;"",F197&lt;=TODAY())),"Срочные",IF(OR(D197="Отложено",C197="Низкий",AND(F197&lt;&gt;"",F197&gt;TODAY()+Справочники!$H$2)),"Плановые","Текущие"))))</f>
        <v/>
      </c>
      <c r="K197" s="35" t="str">
        <f aca="true">IF(OR(A197="",D197="Выполнено"),"",IF(F197="",IF(AND(G197&lt;&gt;"",G197&lt;&gt;"Разово"),"↻ "&amp;G197,""),IF(F197&lt;TODAY(),"Просрочено на "&amp;(TODAY()-F197)&amp;" дн.",IF(F197=TODAY(),"Сегодня",IF(F197=TODAY()+1,"Завтра","Через "&amp;(F197-TODAY())&amp;" дн.")))))</f>
        <v/>
      </c>
      <c r="L197" s="0" t="str">
        <f aca="true">IF(J197="","",(IF(AND(F197&lt;&gt;"",F197&lt;TODAY()),0,1)*10000000+IFERROR(MATCH(C197,{"Срочно","Высокий","Средний","Низкий"},0),5)*100000+IF(F197="",99999,F197))*1000+ROW())</f>
        <v/>
      </c>
      <c r="M197" s="0" t="str">
        <f aca="false">IF(AND($J197="Срочные",OR(Главная!$F$6="Все",$B197=Главная!$F$6),OR(Главная!$F$7="Все",$C197=Главная!$F$7)),$L197,"")</f>
        <v/>
      </c>
      <c r="N197" s="0" t="str">
        <f aca="false">IF(AND($J197="Текущие",OR(Главная!$F$6="Все",$B197=Главная!$F$6),OR(Главная!$F$7="Все",$C197=Главная!$F$7)),$L197,"")</f>
        <v/>
      </c>
      <c r="O197" s="0" t="str">
        <f aca="false">IF(AND($J197="Плановые",OR(Главная!$F$6="Все",$B197=Главная!$F$6),OR(Главная!$F$7="Все",$C197=Главная!$F$7)),$L197,"")</f>
        <v/>
      </c>
      <c r="P197" s="0" t="str">
        <f aca="false">IF(J197="Выполнено",ROW(),"")</f>
        <v/>
      </c>
    </row>
    <row r="198" customFormat="false" ht="21.75" hidden="false" customHeight="true" outlineLevel="0" collapsed="false">
      <c r="A198" s="31"/>
      <c r="B198" s="31"/>
      <c r="C198" s="32"/>
      <c r="D198" s="32"/>
      <c r="E198" s="33"/>
      <c r="F198" s="33"/>
      <c r="G198" s="32"/>
      <c r="H198" s="32"/>
      <c r="I198" s="31"/>
      <c r="J198" s="34" t="str">
        <f aca="true">IF(TRIM(A198)="","",IF(D198="Выполнено","Выполнено",IF(OR(C198="Срочно",AND(F198&lt;&gt;"",F198&lt;=TODAY())),"Срочные",IF(OR(D198="Отложено",C198="Низкий",AND(F198&lt;&gt;"",F198&gt;TODAY()+Справочники!$H$2)),"Плановые","Текущие"))))</f>
        <v/>
      </c>
      <c r="K198" s="35" t="str">
        <f aca="true">IF(OR(A198="",D198="Выполнено"),"",IF(F198="",IF(AND(G198&lt;&gt;"",G198&lt;&gt;"Разово"),"↻ "&amp;G198,""),IF(F198&lt;TODAY(),"Просрочено на "&amp;(TODAY()-F198)&amp;" дн.",IF(F198=TODAY(),"Сегодня",IF(F198=TODAY()+1,"Завтра","Через "&amp;(F198-TODAY())&amp;" дн.")))))</f>
        <v/>
      </c>
      <c r="L198" s="0" t="str">
        <f aca="true">IF(J198="","",(IF(AND(F198&lt;&gt;"",F198&lt;TODAY()),0,1)*10000000+IFERROR(MATCH(C198,{"Срочно","Высокий","Средний","Низкий"},0),5)*100000+IF(F198="",99999,F198))*1000+ROW())</f>
        <v/>
      </c>
      <c r="M198" s="0" t="str">
        <f aca="false">IF(AND($J198="Срочные",OR(Главная!$F$6="Все",$B198=Главная!$F$6),OR(Главная!$F$7="Все",$C198=Главная!$F$7)),$L198,"")</f>
        <v/>
      </c>
      <c r="N198" s="0" t="str">
        <f aca="false">IF(AND($J198="Текущие",OR(Главная!$F$6="Все",$B198=Главная!$F$6),OR(Главная!$F$7="Все",$C198=Главная!$F$7)),$L198,"")</f>
        <v/>
      </c>
      <c r="O198" s="0" t="str">
        <f aca="false">IF(AND($J198="Плановые",OR(Главная!$F$6="Все",$B198=Главная!$F$6),OR(Главная!$F$7="Все",$C198=Главная!$F$7)),$L198,"")</f>
        <v/>
      </c>
      <c r="P198" s="0" t="str">
        <f aca="false">IF(J198="Выполнено",ROW(),"")</f>
        <v/>
      </c>
    </row>
    <row r="199" customFormat="false" ht="21.75" hidden="false" customHeight="true" outlineLevel="0" collapsed="false">
      <c r="A199" s="31"/>
      <c r="B199" s="31"/>
      <c r="C199" s="32"/>
      <c r="D199" s="32"/>
      <c r="E199" s="33"/>
      <c r="F199" s="33"/>
      <c r="G199" s="32"/>
      <c r="H199" s="32"/>
      <c r="I199" s="31"/>
      <c r="J199" s="34" t="str">
        <f aca="true">IF(TRIM(A199)="","",IF(D199="Выполнено","Выполнено",IF(OR(C199="Срочно",AND(F199&lt;&gt;"",F199&lt;=TODAY())),"Срочные",IF(OR(D199="Отложено",C199="Низкий",AND(F199&lt;&gt;"",F199&gt;TODAY()+Справочники!$H$2)),"Плановые","Текущие"))))</f>
        <v/>
      </c>
      <c r="K199" s="35" t="str">
        <f aca="true">IF(OR(A199="",D199="Выполнено"),"",IF(F199="",IF(AND(G199&lt;&gt;"",G199&lt;&gt;"Разово"),"↻ "&amp;G199,""),IF(F199&lt;TODAY(),"Просрочено на "&amp;(TODAY()-F199)&amp;" дн.",IF(F199=TODAY(),"Сегодня",IF(F199=TODAY()+1,"Завтра","Через "&amp;(F199-TODAY())&amp;" дн.")))))</f>
        <v/>
      </c>
      <c r="L199" s="0" t="str">
        <f aca="true">IF(J199="","",(IF(AND(F199&lt;&gt;"",F199&lt;TODAY()),0,1)*10000000+IFERROR(MATCH(C199,{"Срочно","Высокий","Средний","Низкий"},0),5)*100000+IF(F199="",99999,F199))*1000+ROW())</f>
        <v/>
      </c>
      <c r="M199" s="0" t="str">
        <f aca="false">IF(AND($J199="Срочные",OR(Главная!$F$6="Все",$B199=Главная!$F$6),OR(Главная!$F$7="Все",$C199=Главная!$F$7)),$L199,"")</f>
        <v/>
      </c>
      <c r="N199" s="0" t="str">
        <f aca="false">IF(AND($J199="Текущие",OR(Главная!$F$6="Все",$B199=Главная!$F$6),OR(Главная!$F$7="Все",$C199=Главная!$F$7)),$L199,"")</f>
        <v/>
      </c>
      <c r="O199" s="0" t="str">
        <f aca="false">IF(AND($J199="Плановые",OR(Главная!$F$6="Все",$B199=Главная!$F$6),OR(Главная!$F$7="Все",$C199=Главная!$F$7)),$L199,"")</f>
        <v/>
      </c>
      <c r="P199" s="0" t="str">
        <f aca="false">IF(J199="Выполнено",ROW(),"")</f>
        <v/>
      </c>
    </row>
    <row r="200" customFormat="false" ht="21.75" hidden="false" customHeight="true" outlineLevel="0" collapsed="false">
      <c r="A200" s="31"/>
      <c r="B200" s="31"/>
      <c r="C200" s="32"/>
      <c r="D200" s="32"/>
      <c r="E200" s="33"/>
      <c r="F200" s="33"/>
      <c r="G200" s="32"/>
      <c r="H200" s="32"/>
      <c r="I200" s="31"/>
      <c r="J200" s="34" t="str">
        <f aca="true">IF(TRIM(A200)="","",IF(D200="Выполнено","Выполнено",IF(OR(C200="Срочно",AND(F200&lt;&gt;"",F200&lt;=TODAY())),"Срочные",IF(OR(D200="Отложено",C200="Низкий",AND(F200&lt;&gt;"",F200&gt;TODAY()+Справочники!$H$2)),"Плановые","Текущие"))))</f>
        <v/>
      </c>
      <c r="K200" s="35" t="str">
        <f aca="true">IF(OR(A200="",D200="Выполнено"),"",IF(F200="",IF(AND(G200&lt;&gt;"",G200&lt;&gt;"Разово"),"↻ "&amp;G200,""),IF(F200&lt;TODAY(),"Просрочено на "&amp;(TODAY()-F200)&amp;" дн.",IF(F200=TODAY(),"Сегодня",IF(F200=TODAY()+1,"Завтра","Через "&amp;(F200-TODAY())&amp;" дн.")))))</f>
        <v/>
      </c>
      <c r="L200" s="0" t="str">
        <f aca="true">IF(J200="","",(IF(AND(F200&lt;&gt;"",F200&lt;TODAY()),0,1)*10000000+IFERROR(MATCH(C200,{"Срочно","Высокий","Средний","Низкий"},0),5)*100000+IF(F200="",99999,F200))*1000+ROW())</f>
        <v/>
      </c>
      <c r="M200" s="0" t="str">
        <f aca="false">IF(AND($J200="Срочные",OR(Главная!$F$6="Все",$B200=Главная!$F$6),OR(Главная!$F$7="Все",$C200=Главная!$F$7)),$L200,"")</f>
        <v/>
      </c>
      <c r="N200" s="0" t="str">
        <f aca="false">IF(AND($J200="Текущие",OR(Главная!$F$6="Все",$B200=Главная!$F$6),OR(Главная!$F$7="Все",$C200=Главная!$F$7)),$L200,"")</f>
        <v/>
      </c>
      <c r="O200" s="0" t="str">
        <f aca="false">IF(AND($J200="Плановые",OR(Главная!$F$6="Все",$B200=Главная!$F$6),OR(Главная!$F$7="Все",$C200=Главная!$F$7)),$L200,"")</f>
        <v/>
      </c>
      <c r="P200" s="0" t="str">
        <f aca="false">IF(J200="Выполнено",ROW(),"")</f>
        <v/>
      </c>
    </row>
    <row r="201" customFormat="false" ht="21.75" hidden="false" customHeight="true" outlineLevel="0" collapsed="false">
      <c r="A201" s="31"/>
      <c r="B201" s="31"/>
      <c r="C201" s="32"/>
      <c r="D201" s="32"/>
      <c r="E201" s="33"/>
      <c r="F201" s="33"/>
      <c r="G201" s="32"/>
      <c r="H201" s="32"/>
      <c r="I201" s="31"/>
      <c r="J201" s="34" t="str">
        <f aca="true">IF(TRIM(A201)="","",IF(D201="Выполнено","Выполнено",IF(OR(C201="Срочно",AND(F201&lt;&gt;"",F201&lt;=TODAY())),"Срочные",IF(OR(D201="Отложено",C201="Низкий",AND(F201&lt;&gt;"",F201&gt;TODAY()+Справочники!$H$2)),"Плановые","Текущие"))))</f>
        <v/>
      </c>
      <c r="K201" s="35" t="str">
        <f aca="true">IF(OR(A201="",D201="Выполнено"),"",IF(F201="",IF(AND(G201&lt;&gt;"",G201&lt;&gt;"Разово"),"↻ "&amp;G201,""),IF(F201&lt;TODAY(),"Просрочено на "&amp;(TODAY()-F201)&amp;" дн.",IF(F201=TODAY(),"Сегодня",IF(F201=TODAY()+1,"Завтра","Через "&amp;(F201-TODAY())&amp;" дн.")))))</f>
        <v/>
      </c>
      <c r="L201" s="0" t="str">
        <f aca="true">IF(J201="","",(IF(AND(F201&lt;&gt;"",F201&lt;TODAY()),0,1)*10000000+IFERROR(MATCH(C201,{"Срочно","Высокий","Средний","Низкий"},0),5)*100000+IF(F201="",99999,F201))*1000+ROW())</f>
        <v/>
      </c>
      <c r="M201" s="0" t="str">
        <f aca="false">IF(AND($J201="Срочные",OR(Главная!$F$6="Все",$B201=Главная!$F$6),OR(Главная!$F$7="Все",$C201=Главная!$F$7)),$L201,"")</f>
        <v/>
      </c>
      <c r="N201" s="0" t="str">
        <f aca="false">IF(AND($J201="Текущие",OR(Главная!$F$6="Все",$B201=Главная!$F$6),OR(Главная!$F$7="Все",$C201=Главная!$F$7)),$L201,"")</f>
        <v/>
      </c>
      <c r="O201" s="0" t="str">
        <f aca="false">IF(AND($J201="Плановые",OR(Главная!$F$6="Все",$B201=Главная!$F$6),OR(Главная!$F$7="Все",$C201=Главная!$F$7)),$L201,"")</f>
        <v/>
      </c>
      <c r="P201" s="0" t="str">
        <f aca="false">IF(J201="Выполнено",ROW(),"")</f>
        <v/>
      </c>
    </row>
    <row r="202" customFormat="false" ht="21.75" hidden="false" customHeight="true" outlineLevel="0" collapsed="false">
      <c r="A202" s="31"/>
      <c r="B202" s="31"/>
      <c r="C202" s="32"/>
      <c r="D202" s="32"/>
      <c r="E202" s="33"/>
      <c r="F202" s="33"/>
      <c r="G202" s="32"/>
      <c r="H202" s="32"/>
      <c r="I202" s="31"/>
      <c r="J202" s="34" t="str">
        <f aca="true">IF(TRIM(A202)="","",IF(D202="Выполнено","Выполнено",IF(OR(C202="Срочно",AND(F202&lt;&gt;"",F202&lt;=TODAY())),"Срочные",IF(OR(D202="Отложено",C202="Низкий",AND(F202&lt;&gt;"",F202&gt;TODAY()+Справочники!$H$2)),"Плановые","Текущие"))))</f>
        <v/>
      </c>
      <c r="K202" s="35" t="str">
        <f aca="true">IF(OR(A202="",D202="Выполнено"),"",IF(F202="",IF(AND(G202&lt;&gt;"",G202&lt;&gt;"Разово"),"↻ "&amp;G202,""),IF(F202&lt;TODAY(),"Просрочено на "&amp;(TODAY()-F202)&amp;" дн.",IF(F202=TODAY(),"Сегодня",IF(F202=TODAY()+1,"Завтра","Через "&amp;(F202-TODAY())&amp;" дн.")))))</f>
        <v/>
      </c>
      <c r="L202" s="0" t="str">
        <f aca="true">IF(J202="","",(IF(AND(F202&lt;&gt;"",F202&lt;TODAY()),0,1)*10000000+IFERROR(MATCH(C202,{"Срочно","Высокий","Средний","Низкий"},0),5)*100000+IF(F202="",99999,F202))*1000+ROW())</f>
        <v/>
      </c>
      <c r="M202" s="0" t="str">
        <f aca="false">IF(AND($J202="Срочные",OR(Главная!$F$6="Все",$B202=Главная!$F$6),OR(Главная!$F$7="Все",$C202=Главная!$F$7)),$L202,"")</f>
        <v/>
      </c>
      <c r="N202" s="0" t="str">
        <f aca="false">IF(AND($J202="Текущие",OR(Главная!$F$6="Все",$B202=Главная!$F$6),OR(Главная!$F$7="Все",$C202=Главная!$F$7)),$L202,"")</f>
        <v/>
      </c>
      <c r="O202" s="0" t="str">
        <f aca="false">IF(AND($J202="Плановые",OR(Главная!$F$6="Все",$B202=Главная!$F$6),OR(Главная!$F$7="Все",$C202=Главная!$F$7)),$L202,"")</f>
        <v/>
      </c>
      <c r="P202" s="0" t="str">
        <f aca="false">IF(J202="Выполнено",ROW(),"")</f>
        <v/>
      </c>
    </row>
    <row r="203" customFormat="false" ht="21.75" hidden="false" customHeight="true" outlineLevel="0" collapsed="false">
      <c r="A203" s="31"/>
      <c r="B203" s="31"/>
      <c r="C203" s="32"/>
      <c r="D203" s="32"/>
      <c r="E203" s="33"/>
      <c r="F203" s="33"/>
      <c r="G203" s="32"/>
      <c r="H203" s="32"/>
      <c r="I203" s="31"/>
      <c r="J203" s="34" t="str">
        <f aca="true">IF(TRIM(A203)="","",IF(D203="Выполнено","Выполнено",IF(OR(C203="Срочно",AND(F203&lt;&gt;"",F203&lt;=TODAY())),"Срочные",IF(OR(D203="Отложено",C203="Низкий",AND(F203&lt;&gt;"",F203&gt;TODAY()+Справочники!$H$2)),"Плановые","Текущие"))))</f>
        <v/>
      </c>
      <c r="K203" s="35" t="str">
        <f aca="true">IF(OR(A203="",D203="Выполнено"),"",IF(F203="",IF(AND(G203&lt;&gt;"",G203&lt;&gt;"Разово"),"↻ "&amp;G203,""),IF(F203&lt;TODAY(),"Просрочено на "&amp;(TODAY()-F203)&amp;" дн.",IF(F203=TODAY(),"Сегодня",IF(F203=TODAY()+1,"Завтра","Через "&amp;(F203-TODAY())&amp;" дн.")))))</f>
        <v/>
      </c>
      <c r="L203" s="0" t="str">
        <f aca="true">IF(J203="","",(IF(AND(F203&lt;&gt;"",F203&lt;TODAY()),0,1)*10000000+IFERROR(MATCH(C203,{"Срочно","Высокий","Средний","Низкий"},0),5)*100000+IF(F203="",99999,F203))*1000+ROW())</f>
        <v/>
      </c>
      <c r="M203" s="0" t="str">
        <f aca="false">IF(AND($J203="Срочные",OR(Главная!$F$6="Все",$B203=Главная!$F$6),OR(Главная!$F$7="Все",$C203=Главная!$F$7)),$L203,"")</f>
        <v/>
      </c>
      <c r="N203" s="0" t="str">
        <f aca="false">IF(AND($J203="Текущие",OR(Главная!$F$6="Все",$B203=Главная!$F$6),OR(Главная!$F$7="Все",$C203=Главная!$F$7)),$L203,"")</f>
        <v/>
      </c>
      <c r="O203" s="0" t="str">
        <f aca="false">IF(AND($J203="Плановые",OR(Главная!$F$6="Все",$B203=Главная!$F$6),OR(Главная!$F$7="Все",$C203=Главная!$F$7)),$L203,"")</f>
        <v/>
      </c>
      <c r="P203" s="0" t="str">
        <f aca="false">IF(J203="Выполнено",ROW(),"")</f>
        <v/>
      </c>
    </row>
    <row r="204" customFormat="false" ht="21.75" hidden="false" customHeight="true" outlineLevel="0" collapsed="false">
      <c r="A204" s="31"/>
      <c r="B204" s="31"/>
      <c r="C204" s="32"/>
      <c r="D204" s="32"/>
      <c r="E204" s="33"/>
      <c r="F204" s="33"/>
      <c r="G204" s="32"/>
      <c r="H204" s="32"/>
      <c r="I204" s="31"/>
      <c r="J204" s="34" t="str">
        <f aca="true">IF(TRIM(A204)="","",IF(D204="Выполнено","Выполнено",IF(OR(C204="Срочно",AND(F204&lt;&gt;"",F204&lt;=TODAY())),"Срочные",IF(OR(D204="Отложено",C204="Низкий",AND(F204&lt;&gt;"",F204&gt;TODAY()+Справочники!$H$2)),"Плановые","Текущие"))))</f>
        <v/>
      </c>
      <c r="K204" s="35" t="str">
        <f aca="true">IF(OR(A204="",D204="Выполнено"),"",IF(F204="",IF(AND(G204&lt;&gt;"",G204&lt;&gt;"Разово"),"↻ "&amp;G204,""),IF(F204&lt;TODAY(),"Просрочено на "&amp;(TODAY()-F204)&amp;" дн.",IF(F204=TODAY(),"Сегодня",IF(F204=TODAY()+1,"Завтра","Через "&amp;(F204-TODAY())&amp;" дн.")))))</f>
        <v/>
      </c>
      <c r="L204" s="0" t="str">
        <f aca="true">IF(J204="","",(IF(AND(F204&lt;&gt;"",F204&lt;TODAY()),0,1)*10000000+IFERROR(MATCH(C204,{"Срочно","Высокий","Средний","Низкий"},0),5)*100000+IF(F204="",99999,F204))*1000+ROW())</f>
        <v/>
      </c>
      <c r="M204" s="0" t="str">
        <f aca="false">IF(AND($J204="Срочные",OR(Главная!$F$6="Все",$B204=Главная!$F$6),OR(Главная!$F$7="Все",$C204=Главная!$F$7)),$L204,"")</f>
        <v/>
      </c>
      <c r="N204" s="0" t="str">
        <f aca="false">IF(AND($J204="Текущие",OR(Главная!$F$6="Все",$B204=Главная!$F$6),OR(Главная!$F$7="Все",$C204=Главная!$F$7)),$L204,"")</f>
        <v/>
      </c>
      <c r="O204" s="0" t="str">
        <f aca="false">IF(AND($J204="Плановые",OR(Главная!$F$6="Все",$B204=Главная!$F$6),OR(Главная!$F$7="Все",$C204=Главная!$F$7)),$L204,"")</f>
        <v/>
      </c>
      <c r="P204" s="0" t="str">
        <f aca="false">IF(J204="Выполнено",ROW(),"")</f>
        <v/>
      </c>
    </row>
    <row r="205" customFormat="false" ht="21.75" hidden="false" customHeight="true" outlineLevel="0" collapsed="false">
      <c r="A205" s="31"/>
      <c r="B205" s="31"/>
      <c r="C205" s="32"/>
      <c r="D205" s="32"/>
      <c r="E205" s="33"/>
      <c r="F205" s="33"/>
      <c r="G205" s="32"/>
      <c r="H205" s="32"/>
      <c r="I205" s="31"/>
      <c r="J205" s="34" t="str">
        <f aca="true">IF(TRIM(A205)="","",IF(D205="Выполнено","Выполнено",IF(OR(C205="Срочно",AND(F205&lt;&gt;"",F205&lt;=TODAY())),"Срочные",IF(OR(D205="Отложено",C205="Низкий",AND(F205&lt;&gt;"",F205&gt;TODAY()+Справочники!$H$2)),"Плановые","Текущие"))))</f>
        <v/>
      </c>
      <c r="K205" s="35" t="str">
        <f aca="true">IF(OR(A205="",D205="Выполнено"),"",IF(F205="",IF(AND(G205&lt;&gt;"",G205&lt;&gt;"Разово"),"↻ "&amp;G205,""),IF(F205&lt;TODAY(),"Просрочено на "&amp;(TODAY()-F205)&amp;" дн.",IF(F205=TODAY(),"Сегодня",IF(F205=TODAY()+1,"Завтра","Через "&amp;(F205-TODAY())&amp;" дн.")))))</f>
        <v/>
      </c>
      <c r="L205" s="0" t="str">
        <f aca="true">IF(J205="","",(IF(AND(F205&lt;&gt;"",F205&lt;TODAY()),0,1)*10000000+IFERROR(MATCH(C205,{"Срочно","Высокий","Средний","Низкий"},0),5)*100000+IF(F205="",99999,F205))*1000+ROW())</f>
        <v/>
      </c>
      <c r="M205" s="0" t="str">
        <f aca="false">IF(AND($J205="Срочные",OR(Главная!$F$6="Все",$B205=Главная!$F$6),OR(Главная!$F$7="Все",$C205=Главная!$F$7)),$L205,"")</f>
        <v/>
      </c>
      <c r="N205" s="0" t="str">
        <f aca="false">IF(AND($J205="Текущие",OR(Главная!$F$6="Все",$B205=Главная!$F$6),OR(Главная!$F$7="Все",$C205=Главная!$F$7)),$L205,"")</f>
        <v/>
      </c>
      <c r="O205" s="0" t="str">
        <f aca="false">IF(AND($J205="Плановые",OR(Главная!$F$6="Все",$B205=Главная!$F$6),OR(Главная!$F$7="Все",$C205=Главная!$F$7)),$L205,"")</f>
        <v/>
      </c>
      <c r="P205" s="0" t="str">
        <f aca="false">IF(J205="Выполнено",ROW(),"")</f>
        <v/>
      </c>
    </row>
    <row r="206" customFormat="false" ht="21.75" hidden="false" customHeight="true" outlineLevel="0" collapsed="false">
      <c r="A206" s="31"/>
      <c r="B206" s="31"/>
      <c r="C206" s="32"/>
      <c r="D206" s="32"/>
      <c r="E206" s="33"/>
      <c r="F206" s="33"/>
      <c r="G206" s="32"/>
      <c r="H206" s="32"/>
      <c r="I206" s="31"/>
      <c r="J206" s="34" t="str">
        <f aca="true">IF(TRIM(A206)="","",IF(D206="Выполнено","Выполнено",IF(OR(C206="Срочно",AND(F206&lt;&gt;"",F206&lt;=TODAY())),"Срочные",IF(OR(D206="Отложено",C206="Низкий",AND(F206&lt;&gt;"",F206&gt;TODAY()+Справочники!$H$2)),"Плановые","Текущие"))))</f>
        <v/>
      </c>
      <c r="K206" s="35" t="str">
        <f aca="true">IF(OR(A206="",D206="Выполнено"),"",IF(F206="",IF(AND(G206&lt;&gt;"",G206&lt;&gt;"Разово"),"↻ "&amp;G206,""),IF(F206&lt;TODAY(),"Просрочено на "&amp;(TODAY()-F206)&amp;" дн.",IF(F206=TODAY(),"Сегодня",IF(F206=TODAY()+1,"Завтра","Через "&amp;(F206-TODAY())&amp;" дн.")))))</f>
        <v/>
      </c>
      <c r="L206" s="0" t="str">
        <f aca="true">IF(J206="","",(IF(AND(F206&lt;&gt;"",F206&lt;TODAY()),0,1)*10000000+IFERROR(MATCH(C206,{"Срочно","Высокий","Средний","Низкий"},0),5)*100000+IF(F206="",99999,F206))*1000+ROW())</f>
        <v/>
      </c>
      <c r="M206" s="0" t="str">
        <f aca="false">IF(AND($J206="Срочные",OR(Главная!$F$6="Все",$B206=Главная!$F$6),OR(Главная!$F$7="Все",$C206=Главная!$F$7)),$L206,"")</f>
        <v/>
      </c>
      <c r="N206" s="0" t="str">
        <f aca="false">IF(AND($J206="Текущие",OR(Главная!$F$6="Все",$B206=Главная!$F$6),OR(Главная!$F$7="Все",$C206=Главная!$F$7)),$L206,"")</f>
        <v/>
      </c>
      <c r="O206" s="0" t="str">
        <f aca="false">IF(AND($J206="Плановые",OR(Главная!$F$6="Все",$B206=Главная!$F$6),OR(Главная!$F$7="Все",$C206=Главная!$F$7)),$L206,"")</f>
        <v/>
      </c>
      <c r="P206" s="0" t="str">
        <f aca="false">IF(J206="Выполнено",ROW(),"")</f>
        <v/>
      </c>
    </row>
    <row r="207" customFormat="false" ht="21.75" hidden="false" customHeight="true" outlineLevel="0" collapsed="false">
      <c r="A207" s="31"/>
      <c r="B207" s="31"/>
      <c r="C207" s="32"/>
      <c r="D207" s="32"/>
      <c r="E207" s="33"/>
      <c r="F207" s="33"/>
      <c r="G207" s="32"/>
      <c r="H207" s="32"/>
      <c r="I207" s="31"/>
      <c r="J207" s="34" t="str">
        <f aca="true">IF(TRIM(A207)="","",IF(D207="Выполнено","Выполнено",IF(OR(C207="Срочно",AND(F207&lt;&gt;"",F207&lt;=TODAY())),"Срочные",IF(OR(D207="Отложено",C207="Низкий",AND(F207&lt;&gt;"",F207&gt;TODAY()+Справочники!$H$2)),"Плановые","Текущие"))))</f>
        <v/>
      </c>
      <c r="K207" s="35" t="str">
        <f aca="true">IF(OR(A207="",D207="Выполнено"),"",IF(F207="",IF(AND(G207&lt;&gt;"",G207&lt;&gt;"Разово"),"↻ "&amp;G207,""),IF(F207&lt;TODAY(),"Просрочено на "&amp;(TODAY()-F207)&amp;" дн.",IF(F207=TODAY(),"Сегодня",IF(F207=TODAY()+1,"Завтра","Через "&amp;(F207-TODAY())&amp;" дн.")))))</f>
        <v/>
      </c>
      <c r="L207" s="0" t="str">
        <f aca="true">IF(J207="","",(IF(AND(F207&lt;&gt;"",F207&lt;TODAY()),0,1)*10000000+IFERROR(MATCH(C207,{"Срочно","Высокий","Средний","Низкий"},0),5)*100000+IF(F207="",99999,F207))*1000+ROW())</f>
        <v/>
      </c>
      <c r="M207" s="0" t="str">
        <f aca="false">IF(AND($J207="Срочные",OR(Главная!$F$6="Все",$B207=Главная!$F$6),OR(Главная!$F$7="Все",$C207=Главная!$F$7)),$L207,"")</f>
        <v/>
      </c>
      <c r="N207" s="0" t="str">
        <f aca="false">IF(AND($J207="Текущие",OR(Главная!$F$6="Все",$B207=Главная!$F$6),OR(Главная!$F$7="Все",$C207=Главная!$F$7)),$L207,"")</f>
        <v/>
      </c>
      <c r="O207" s="0" t="str">
        <f aca="false">IF(AND($J207="Плановые",OR(Главная!$F$6="Все",$B207=Главная!$F$6),OR(Главная!$F$7="Все",$C207=Главная!$F$7)),$L207,"")</f>
        <v/>
      </c>
      <c r="P207" s="0" t="str">
        <f aca="false">IF(J207="Выполнено",ROW(),"")</f>
        <v/>
      </c>
    </row>
    <row r="208" customFormat="false" ht="21.75" hidden="false" customHeight="true" outlineLevel="0" collapsed="false">
      <c r="A208" s="31"/>
      <c r="B208" s="31"/>
      <c r="C208" s="32"/>
      <c r="D208" s="32"/>
      <c r="E208" s="33"/>
      <c r="F208" s="33"/>
      <c r="G208" s="32"/>
      <c r="H208" s="32"/>
      <c r="I208" s="31"/>
      <c r="J208" s="34" t="str">
        <f aca="true">IF(TRIM(A208)="","",IF(D208="Выполнено","Выполнено",IF(OR(C208="Срочно",AND(F208&lt;&gt;"",F208&lt;=TODAY())),"Срочные",IF(OR(D208="Отложено",C208="Низкий",AND(F208&lt;&gt;"",F208&gt;TODAY()+Справочники!$H$2)),"Плановые","Текущие"))))</f>
        <v/>
      </c>
      <c r="K208" s="35" t="str">
        <f aca="true">IF(OR(A208="",D208="Выполнено"),"",IF(F208="",IF(AND(G208&lt;&gt;"",G208&lt;&gt;"Разово"),"↻ "&amp;G208,""),IF(F208&lt;TODAY(),"Просрочено на "&amp;(TODAY()-F208)&amp;" дн.",IF(F208=TODAY(),"Сегодня",IF(F208=TODAY()+1,"Завтра","Через "&amp;(F208-TODAY())&amp;" дн.")))))</f>
        <v/>
      </c>
      <c r="L208" s="0" t="str">
        <f aca="true">IF(J208="","",(IF(AND(F208&lt;&gt;"",F208&lt;TODAY()),0,1)*10000000+IFERROR(MATCH(C208,{"Срочно","Высокий","Средний","Низкий"},0),5)*100000+IF(F208="",99999,F208))*1000+ROW())</f>
        <v/>
      </c>
      <c r="M208" s="0" t="str">
        <f aca="false">IF(AND($J208="Срочные",OR(Главная!$F$6="Все",$B208=Главная!$F$6),OR(Главная!$F$7="Все",$C208=Главная!$F$7)),$L208,"")</f>
        <v/>
      </c>
      <c r="N208" s="0" t="str">
        <f aca="false">IF(AND($J208="Текущие",OR(Главная!$F$6="Все",$B208=Главная!$F$6),OR(Главная!$F$7="Все",$C208=Главная!$F$7)),$L208,"")</f>
        <v/>
      </c>
      <c r="O208" s="0" t="str">
        <f aca="false">IF(AND($J208="Плановые",OR(Главная!$F$6="Все",$B208=Главная!$F$6),OR(Главная!$F$7="Все",$C208=Главная!$F$7)),$L208,"")</f>
        <v/>
      </c>
      <c r="P208" s="0" t="str">
        <f aca="false">IF(J208="Выполнено",ROW(),"")</f>
        <v/>
      </c>
    </row>
    <row r="209" customFormat="false" ht="21.75" hidden="false" customHeight="true" outlineLevel="0" collapsed="false">
      <c r="A209" s="31"/>
      <c r="B209" s="31"/>
      <c r="C209" s="32"/>
      <c r="D209" s="32"/>
      <c r="E209" s="33"/>
      <c r="F209" s="33"/>
      <c r="G209" s="32"/>
      <c r="H209" s="32"/>
      <c r="I209" s="31"/>
      <c r="J209" s="34" t="str">
        <f aca="true">IF(TRIM(A209)="","",IF(D209="Выполнено","Выполнено",IF(OR(C209="Срочно",AND(F209&lt;&gt;"",F209&lt;=TODAY())),"Срочные",IF(OR(D209="Отложено",C209="Низкий",AND(F209&lt;&gt;"",F209&gt;TODAY()+Справочники!$H$2)),"Плановые","Текущие"))))</f>
        <v/>
      </c>
      <c r="K209" s="35" t="str">
        <f aca="true">IF(OR(A209="",D209="Выполнено"),"",IF(F209="",IF(AND(G209&lt;&gt;"",G209&lt;&gt;"Разово"),"↻ "&amp;G209,""),IF(F209&lt;TODAY(),"Просрочено на "&amp;(TODAY()-F209)&amp;" дн.",IF(F209=TODAY(),"Сегодня",IF(F209=TODAY()+1,"Завтра","Через "&amp;(F209-TODAY())&amp;" дн.")))))</f>
        <v/>
      </c>
      <c r="L209" s="0" t="str">
        <f aca="true">IF(J209="","",(IF(AND(F209&lt;&gt;"",F209&lt;TODAY()),0,1)*10000000+IFERROR(MATCH(C209,{"Срочно","Высокий","Средний","Низкий"},0),5)*100000+IF(F209="",99999,F209))*1000+ROW())</f>
        <v/>
      </c>
      <c r="M209" s="0" t="str">
        <f aca="false">IF(AND($J209="Срочные",OR(Главная!$F$6="Все",$B209=Главная!$F$6),OR(Главная!$F$7="Все",$C209=Главная!$F$7)),$L209,"")</f>
        <v/>
      </c>
      <c r="N209" s="0" t="str">
        <f aca="false">IF(AND($J209="Текущие",OR(Главная!$F$6="Все",$B209=Главная!$F$6),OR(Главная!$F$7="Все",$C209=Главная!$F$7)),$L209,"")</f>
        <v/>
      </c>
      <c r="O209" s="0" t="str">
        <f aca="false">IF(AND($J209="Плановые",OR(Главная!$F$6="Все",$B209=Главная!$F$6),OR(Главная!$F$7="Все",$C209=Главная!$F$7)),$L209,"")</f>
        <v/>
      </c>
      <c r="P209" s="0" t="str">
        <f aca="false">IF(J209="Выполнено",ROW(),"")</f>
        <v/>
      </c>
    </row>
    <row r="210" customFormat="false" ht="21.75" hidden="false" customHeight="true" outlineLevel="0" collapsed="false">
      <c r="A210" s="31"/>
      <c r="B210" s="31"/>
      <c r="C210" s="32"/>
      <c r="D210" s="32"/>
      <c r="E210" s="33"/>
      <c r="F210" s="33"/>
      <c r="G210" s="32"/>
      <c r="H210" s="32"/>
      <c r="I210" s="31"/>
      <c r="J210" s="34" t="str">
        <f aca="true">IF(TRIM(A210)="","",IF(D210="Выполнено","Выполнено",IF(OR(C210="Срочно",AND(F210&lt;&gt;"",F210&lt;=TODAY())),"Срочные",IF(OR(D210="Отложено",C210="Низкий",AND(F210&lt;&gt;"",F210&gt;TODAY()+Справочники!$H$2)),"Плановые","Текущие"))))</f>
        <v/>
      </c>
      <c r="K210" s="35" t="str">
        <f aca="true">IF(OR(A210="",D210="Выполнено"),"",IF(F210="",IF(AND(G210&lt;&gt;"",G210&lt;&gt;"Разово"),"↻ "&amp;G210,""),IF(F210&lt;TODAY(),"Просрочено на "&amp;(TODAY()-F210)&amp;" дн.",IF(F210=TODAY(),"Сегодня",IF(F210=TODAY()+1,"Завтра","Через "&amp;(F210-TODAY())&amp;" дн.")))))</f>
        <v/>
      </c>
      <c r="L210" s="0" t="str">
        <f aca="true">IF(J210="","",(IF(AND(F210&lt;&gt;"",F210&lt;TODAY()),0,1)*10000000+IFERROR(MATCH(C210,{"Срочно","Высокий","Средний","Низкий"},0),5)*100000+IF(F210="",99999,F210))*1000+ROW())</f>
        <v/>
      </c>
      <c r="M210" s="0" t="str">
        <f aca="false">IF(AND($J210="Срочные",OR(Главная!$F$6="Все",$B210=Главная!$F$6),OR(Главная!$F$7="Все",$C210=Главная!$F$7)),$L210,"")</f>
        <v/>
      </c>
      <c r="N210" s="0" t="str">
        <f aca="false">IF(AND($J210="Текущие",OR(Главная!$F$6="Все",$B210=Главная!$F$6),OR(Главная!$F$7="Все",$C210=Главная!$F$7)),$L210,"")</f>
        <v/>
      </c>
      <c r="O210" s="0" t="str">
        <f aca="false">IF(AND($J210="Плановые",OR(Главная!$F$6="Все",$B210=Главная!$F$6),OR(Главная!$F$7="Все",$C210=Главная!$F$7)),$L210,"")</f>
        <v/>
      </c>
      <c r="P210" s="0" t="str">
        <f aca="false">IF(J210="Выполнено",ROW(),"")</f>
        <v/>
      </c>
    </row>
    <row r="211" customFormat="false" ht="21.75" hidden="false" customHeight="true" outlineLevel="0" collapsed="false">
      <c r="A211" s="31"/>
      <c r="B211" s="31"/>
      <c r="C211" s="32"/>
      <c r="D211" s="32"/>
      <c r="E211" s="33"/>
      <c r="F211" s="33"/>
      <c r="G211" s="32"/>
      <c r="H211" s="32"/>
      <c r="I211" s="31"/>
      <c r="J211" s="34" t="str">
        <f aca="true">IF(TRIM(A211)="","",IF(D211="Выполнено","Выполнено",IF(OR(C211="Срочно",AND(F211&lt;&gt;"",F211&lt;=TODAY())),"Срочные",IF(OR(D211="Отложено",C211="Низкий",AND(F211&lt;&gt;"",F211&gt;TODAY()+Справочники!$H$2)),"Плановые","Текущие"))))</f>
        <v/>
      </c>
      <c r="K211" s="35" t="str">
        <f aca="true">IF(OR(A211="",D211="Выполнено"),"",IF(F211="",IF(AND(G211&lt;&gt;"",G211&lt;&gt;"Разово"),"↻ "&amp;G211,""),IF(F211&lt;TODAY(),"Просрочено на "&amp;(TODAY()-F211)&amp;" дн.",IF(F211=TODAY(),"Сегодня",IF(F211=TODAY()+1,"Завтра","Через "&amp;(F211-TODAY())&amp;" дн.")))))</f>
        <v/>
      </c>
      <c r="L211" s="0" t="str">
        <f aca="true">IF(J211="","",(IF(AND(F211&lt;&gt;"",F211&lt;TODAY()),0,1)*10000000+IFERROR(MATCH(C211,{"Срочно","Высокий","Средний","Низкий"},0),5)*100000+IF(F211="",99999,F211))*1000+ROW())</f>
        <v/>
      </c>
      <c r="M211" s="0" t="str">
        <f aca="false">IF(AND($J211="Срочные",OR(Главная!$F$6="Все",$B211=Главная!$F$6),OR(Главная!$F$7="Все",$C211=Главная!$F$7)),$L211,"")</f>
        <v/>
      </c>
      <c r="N211" s="0" t="str">
        <f aca="false">IF(AND($J211="Текущие",OR(Главная!$F$6="Все",$B211=Главная!$F$6),OR(Главная!$F$7="Все",$C211=Главная!$F$7)),$L211,"")</f>
        <v/>
      </c>
      <c r="O211" s="0" t="str">
        <f aca="false">IF(AND($J211="Плановые",OR(Главная!$F$6="Все",$B211=Главная!$F$6),OR(Главная!$F$7="Все",$C211=Главная!$F$7)),$L211,"")</f>
        <v/>
      </c>
      <c r="P211" s="0" t="str">
        <f aca="false">IF(J211="Выполнено",ROW(),"")</f>
        <v/>
      </c>
    </row>
    <row r="212" customFormat="false" ht="21.75" hidden="false" customHeight="true" outlineLevel="0" collapsed="false">
      <c r="A212" s="31"/>
      <c r="B212" s="31"/>
      <c r="C212" s="32"/>
      <c r="D212" s="32"/>
      <c r="E212" s="33"/>
      <c r="F212" s="33"/>
      <c r="G212" s="32"/>
      <c r="H212" s="32"/>
      <c r="I212" s="31"/>
      <c r="J212" s="34" t="str">
        <f aca="true">IF(TRIM(A212)="","",IF(D212="Выполнено","Выполнено",IF(OR(C212="Срочно",AND(F212&lt;&gt;"",F212&lt;=TODAY())),"Срочные",IF(OR(D212="Отложено",C212="Низкий",AND(F212&lt;&gt;"",F212&gt;TODAY()+Справочники!$H$2)),"Плановые","Текущие"))))</f>
        <v/>
      </c>
      <c r="K212" s="35" t="str">
        <f aca="true">IF(OR(A212="",D212="Выполнено"),"",IF(F212="",IF(AND(G212&lt;&gt;"",G212&lt;&gt;"Разово"),"↻ "&amp;G212,""),IF(F212&lt;TODAY(),"Просрочено на "&amp;(TODAY()-F212)&amp;" дн.",IF(F212=TODAY(),"Сегодня",IF(F212=TODAY()+1,"Завтра","Через "&amp;(F212-TODAY())&amp;" дн.")))))</f>
        <v/>
      </c>
      <c r="L212" s="0" t="str">
        <f aca="true">IF(J212="","",(IF(AND(F212&lt;&gt;"",F212&lt;TODAY()),0,1)*10000000+IFERROR(MATCH(C212,{"Срочно","Высокий","Средний","Низкий"},0),5)*100000+IF(F212="",99999,F212))*1000+ROW())</f>
        <v/>
      </c>
      <c r="M212" s="0" t="str">
        <f aca="false">IF(AND($J212="Срочные",OR(Главная!$F$6="Все",$B212=Главная!$F$6),OR(Главная!$F$7="Все",$C212=Главная!$F$7)),$L212,"")</f>
        <v/>
      </c>
      <c r="N212" s="0" t="str">
        <f aca="false">IF(AND($J212="Текущие",OR(Главная!$F$6="Все",$B212=Главная!$F$6),OR(Главная!$F$7="Все",$C212=Главная!$F$7)),$L212,"")</f>
        <v/>
      </c>
      <c r="O212" s="0" t="str">
        <f aca="false">IF(AND($J212="Плановые",OR(Главная!$F$6="Все",$B212=Главная!$F$6),OR(Главная!$F$7="Все",$C212=Главная!$F$7)),$L212,"")</f>
        <v/>
      </c>
      <c r="P212" s="0" t="str">
        <f aca="false">IF(J212="Выполнено",ROW(),"")</f>
        <v/>
      </c>
    </row>
    <row r="213" customFormat="false" ht="21.75" hidden="false" customHeight="true" outlineLevel="0" collapsed="false">
      <c r="A213" s="31"/>
      <c r="B213" s="31"/>
      <c r="C213" s="32"/>
      <c r="D213" s="32"/>
      <c r="E213" s="33"/>
      <c r="F213" s="33"/>
      <c r="G213" s="32"/>
      <c r="H213" s="32"/>
      <c r="I213" s="31"/>
      <c r="J213" s="34" t="str">
        <f aca="true">IF(TRIM(A213)="","",IF(D213="Выполнено","Выполнено",IF(OR(C213="Срочно",AND(F213&lt;&gt;"",F213&lt;=TODAY())),"Срочные",IF(OR(D213="Отложено",C213="Низкий",AND(F213&lt;&gt;"",F213&gt;TODAY()+Справочники!$H$2)),"Плановые","Текущие"))))</f>
        <v/>
      </c>
      <c r="K213" s="35" t="str">
        <f aca="true">IF(OR(A213="",D213="Выполнено"),"",IF(F213="",IF(AND(G213&lt;&gt;"",G213&lt;&gt;"Разово"),"↻ "&amp;G213,""),IF(F213&lt;TODAY(),"Просрочено на "&amp;(TODAY()-F213)&amp;" дн.",IF(F213=TODAY(),"Сегодня",IF(F213=TODAY()+1,"Завтра","Через "&amp;(F213-TODAY())&amp;" дн.")))))</f>
        <v/>
      </c>
      <c r="L213" s="0" t="str">
        <f aca="true">IF(J213="","",(IF(AND(F213&lt;&gt;"",F213&lt;TODAY()),0,1)*10000000+IFERROR(MATCH(C213,{"Срочно","Высокий","Средний","Низкий"},0),5)*100000+IF(F213="",99999,F213))*1000+ROW())</f>
        <v/>
      </c>
      <c r="M213" s="0" t="str">
        <f aca="false">IF(AND($J213="Срочные",OR(Главная!$F$6="Все",$B213=Главная!$F$6),OR(Главная!$F$7="Все",$C213=Главная!$F$7)),$L213,"")</f>
        <v/>
      </c>
      <c r="N213" s="0" t="str">
        <f aca="false">IF(AND($J213="Текущие",OR(Главная!$F$6="Все",$B213=Главная!$F$6),OR(Главная!$F$7="Все",$C213=Главная!$F$7)),$L213,"")</f>
        <v/>
      </c>
      <c r="O213" s="0" t="str">
        <f aca="false">IF(AND($J213="Плановые",OR(Главная!$F$6="Все",$B213=Главная!$F$6),OR(Главная!$F$7="Все",$C213=Главная!$F$7)),$L213,"")</f>
        <v/>
      </c>
      <c r="P213" s="0" t="str">
        <f aca="false">IF(J213="Выполнено",ROW(),"")</f>
        <v/>
      </c>
    </row>
    <row r="214" customFormat="false" ht="21.75" hidden="false" customHeight="true" outlineLevel="0" collapsed="false">
      <c r="A214" s="31"/>
      <c r="B214" s="31"/>
      <c r="C214" s="32"/>
      <c r="D214" s="32"/>
      <c r="E214" s="33"/>
      <c r="F214" s="33"/>
      <c r="G214" s="32"/>
      <c r="H214" s="32"/>
      <c r="I214" s="31"/>
      <c r="J214" s="34" t="str">
        <f aca="true">IF(TRIM(A214)="","",IF(D214="Выполнено","Выполнено",IF(OR(C214="Срочно",AND(F214&lt;&gt;"",F214&lt;=TODAY())),"Срочные",IF(OR(D214="Отложено",C214="Низкий",AND(F214&lt;&gt;"",F214&gt;TODAY()+Справочники!$H$2)),"Плановые","Текущие"))))</f>
        <v/>
      </c>
      <c r="K214" s="35" t="str">
        <f aca="true">IF(OR(A214="",D214="Выполнено"),"",IF(F214="",IF(AND(G214&lt;&gt;"",G214&lt;&gt;"Разово"),"↻ "&amp;G214,""),IF(F214&lt;TODAY(),"Просрочено на "&amp;(TODAY()-F214)&amp;" дн.",IF(F214=TODAY(),"Сегодня",IF(F214=TODAY()+1,"Завтра","Через "&amp;(F214-TODAY())&amp;" дн.")))))</f>
        <v/>
      </c>
      <c r="L214" s="0" t="str">
        <f aca="true">IF(J214="","",(IF(AND(F214&lt;&gt;"",F214&lt;TODAY()),0,1)*10000000+IFERROR(MATCH(C214,{"Срочно","Высокий","Средний","Низкий"},0),5)*100000+IF(F214="",99999,F214))*1000+ROW())</f>
        <v/>
      </c>
      <c r="M214" s="0" t="str">
        <f aca="false">IF(AND($J214="Срочные",OR(Главная!$F$6="Все",$B214=Главная!$F$6),OR(Главная!$F$7="Все",$C214=Главная!$F$7)),$L214,"")</f>
        <v/>
      </c>
      <c r="N214" s="0" t="str">
        <f aca="false">IF(AND($J214="Текущие",OR(Главная!$F$6="Все",$B214=Главная!$F$6),OR(Главная!$F$7="Все",$C214=Главная!$F$7)),$L214,"")</f>
        <v/>
      </c>
      <c r="O214" s="0" t="str">
        <f aca="false">IF(AND($J214="Плановые",OR(Главная!$F$6="Все",$B214=Главная!$F$6),OR(Главная!$F$7="Все",$C214=Главная!$F$7)),$L214,"")</f>
        <v/>
      </c>
      <c r="P214" s="0" t="str">
        <f aca="false">IF(J214="Выполнено",ROW(),"")</f>
        <v/>
      </c>
    </row>
    <row r="215" customFormat="false" ht="21.75" hidden="false" customHeight="true" outlineLevel="0" collapsed="false">
      <c r="A215" s="31"/>
      <c r="B215" s="31"/>
      <c r="C215" s="32"/>
      <c r="D215" s="32"/>
      <c r="E215" s="33"/>
      <c r="F215" s="33"/>
      <c r="G215" s="32"/>
      <c r="H215" s="32"/>
      <c r="I215" s="31"/>
      <c r="J215" s="34" t="str">
        <f aca="true">IF(TRIM(A215)="","",IF(D215="Выполнено","Выполнено",IF(OR(C215="Срочно",AND(F215&lt;&gt;"",F215&lt;=TODAY())),"Срочные",IF(OR(D215="Отложено",C215="Низкий",AND(F215&lt;&gt;"",F215&gt;TODAY()+Справочники!$H$2)),"Плановые","Текущие"))))</f>
        <v/>
      </c>
      <c r="K215" s="35" t="str">
        <f aca="true">IF(OR(A215="",D215="Выполнено"),"",IF(F215="",IF(AND(G215&lt;&gt;"",G215&lt;&gt;"Разово"),"↻ "&amp;G215,""),IF(F215&lt;TODAY(),"Просрочено на "&amp;(TODAY()-F215)&amp;" дн.",IF(F215=TODAY(),"Сегодня",IF(F215=TODAY()+1,"Завтра","Через "&amp;(F215-TODAY())&amp;" дн.")))))</f>
        <v/>
      </c>
      <c r="L215" s="0" t="str">
        <f aca="true">IF(J215="","",(IF(AND(F215&lt;&gt;"",F215&lt;TODAY()),0,1)*10000000+IFERROR(MATCH(C215,{"Срочно","Высокий","Средний","Низкий"},0),5)*100000+IF(F215="",99999,F215))*1000+ROW())</f>
        <v/>
      </c>
      <c r="M215" s="0" t="str">
        <f aca="false">IF(AND($J215="Срочные",OR(Главная!$F$6="Все",$B215=Главная!$F$6),OR(Главная!$F$7="Все",$C215=Главная!$F$7)),$L215,"")</f>
        <v/>
      </c>
      <c r="N215" s="0" t="str">
        <f aca="false">IF(AND($J215="Текущие",OR(Главная!$F$6="Все",$B215=Главная!$F$6),OR(Главная!$F$7="Все",$C215=Главная!$F$7)),$L215,"")</f>
        <v/>
      </c>
      <c r="O215" s="0" t="str">
        <f aca="false">IF(AND($J215="Плановые",OR(Главная!$F$6="Все",$B215=Главная!$F$6),OR(Главная!$F$7="Все",$C215=Главная!$F$7)),$L215,"")</f>
        <v/>
      </c>
      <c r="P215" s="0" t="str">
        <f aca="false">IF(J215="Выполнено",ROW(),"")</f>
        <v/>
      </c>
    </row>
    <row r="216" customFormat="false" ht="21.75" hidden="false" customHeight="true" outlineLevel="0" collapsed="false">
      <c r="A216" s="31"/>
      <c r="B216" s="31"/>
      <c r="C216" s="32"/>
      <c r="D216" s="32"/>
      <c r="E216" s="33"/>
      <c r="F216" s="33"/>
      <c r="G216" s="32"/>
      <c r="H216" s="32"/>
      <c r="I216" s="31"/>
      <c r="J216" s="34" t="str">
        <f aca="true">IF(TRIM(A216)="","",IF(D216="Выполнено","Выполнено",IF(OR(C216="Срочно",AND(F216&lt;&gt;"",F216&lt;=TODAY())),"Срочные",IF(OR(D216="Отложено",C216="Низкий",AND(F216&lt;&gt;"",F216&gt;TODAY()+Справочники!$H$2)),"Плановые","Текущие"))))</f>
        <v/>
      </c>
      <c r="K216" s="35" t="str">
        <f aca="true">IF(OR(A216="",D216="Выполнено"),"",IF(F216="",IF(AND(G216&lt;&gt;"",G216&lt;&gt;"Разово"),"↻ "&amp;G216,""),IF(F216&lt;TODAY(),"Просрочено на "&amp;(TODAY()-F216)&amp;" дн.",IF(F216=TODAY(),"Сегодня",IF(F216=TODAY()+1,"Завтра","Через "&amp;(F216-TODAY())&amp;" дн.")))))</f>
        <v/>
      </c>
      <c r="L216" s="0" t="str">
        <f aca="true">IF(J216="","",(IF(AND(F216&lt;&gt;"",F216&lt;TODAY()),0,1)*10000000+IFERROR(MATCH(C216,{"Срочно","Высокий","Средний","Низкий"},0),5)*100000+IF(F216="",99999,F216))*1000+ROW())</f>
        <v/>
      </c>
      <c r="M216" s="0" t="str">
        <f aca="false">IF(AND($J216="Срочные",OR(Главная!$F$6="Все",$B216=Главная!$F$6),OR(Главная!$F$7="Все",$C216=Главная!$F$7)),$L216,"")</f>
        <v/>
      </c>
      <c r="N216" s="0" t="str">
        <f aca="false">IF(AND($J216="Текущие",OR(Главная!$F$6="Все",$B216=Главная!$F$6),OR(Главная!$F$7="Все",$C216=Главная!$F$7)),$L216,"")</f>
        <v/>
      </c>
      <c r="O216" s="0" t="str">
        <f aca="false">IF(AND($J216="Плановые",OR(Главная!$F$6="Все",$B216=Главная!$F$6),OR(Главная!$F$7="Все",$C216=Главная!$F$7)),$L216,"")</f>
        <v/>
      </c>
      <c r="P216" s="0" t="str">
        <f aca="false">IF(J216="Выполнено",ROW(),"")</f>
        <v/>
      </c>
    </row>
    <row r="217" customFormat="false" ht="21.75" hidden="false" customHeight="true" outlineLevel="0" collapsed="false">
      <c r="A217" s="31"/>
      <c r="B217" s="31"/>
      <c r="C217" s="32"/>
      <c r="D217" s="32"/>
      <c r="E217" s="33"/>
      <c r="F217" s="33"/>
      <c r="G217" s="32"/>
      <c r="H217" s="32"/>
      <c r="I217" s="31"/>
      <c r="J217" s="34" t="str">
        <f aca="true">IF(TRIM(A217)="","",IF(D217="Выполнено","Выполнено",IF(OR(C217="Срочно",AND(F217&lt;&gt;"",F217&lt;=TODAY())),"Срочные",IF(OR(D217="Отложено",C217="Низкий",AND(F217&lt;&gt;"",F217&gt;TODAY()+Справочники!$H$2)),"Плановые","Текущие"))))</f>
        <v/>
      </c>
      <c r="K217" s="35" t="str">
        <f aca="true">IF(OR(A217="",D217="Выполнено"),"",IF(F217="",IF(AND(G217&lt;&gt;"",G217&lt;&gt;"Разово"),"↻ "&amp;G217,""),IF(F217&lt;TODAY(),"Просрочено на "&amp;(TODAY()-F217)&amp;" дн.",IF(F217=TODAY(),"Сегодня",IF(F217=TODAY()+1,"Завтра","Через "&amp;(F217-TODAY())&amp;" дн.")))))</f>
        <v/>
      </c>
      <c r="L217" s="0" t="str">
        <f aca="true">IF(J217="","",(IF(AND(F217&lt;&gt;"",F217&lt;TODAY()),0,1)*10000000+IFERROR(MATCH(C217,{"Срочно","Высокий","Средний","Низкий"},0),5)*100000+IF(F217="",99999,F217))*1000+ROW())</f>
        <v/>
      </c>
      <c r="M217" s="0" t="str">
        <f aca="false">IF(AND($J217="Срочные",OR(Главная!$F$6="Все",$B217=Главная!$F$6),OR(Главная!$F$7="Все",$C217=Главная!$F$7)),$L217,"")</f>
        <v/>
      </c>
      <c r="N217" s="0" t="str">
        <f aca="false">IF(AND($J217="Текущие",OR(Главная!$F$6="Все",$B217=Главная!$F$6),OR(Главная!$F$7="Все",$C217=Главная!$F$7)),$L217,"")</f>
        <v/>
      </c>
      <c r="O217" s="0" t="str">
        <f aca="false">IF(AND($J217="Плановые",OR(Главная!$F$6="Все",$B217=Главная!$F$6),OR(Главная!$F$7="Все",$C217=Главная!$F$7)),$L217,"")</f>
        <v/>
      </c>
      <c r="P217" s="0" t="str">
        <f aca="false">IF(J217="Выполнено",ROW(),"")</f>
        <v/>
      </c>
    </row>
    <row r="218" customFormat="false" ht="21.75" hidden="false" customHeight="true" outlineLevel="0" collapsed="false">
      <c r="A218" s="31"/>
      <c r="B218" s="31"/>
      <c r="C218" s="32"/>
      <c r="D218" s="32"/>
      <c r="E218" s="33"/>
      <c r="F218" s="33"/>
      <c r="G218" s="32"/>
      <c r="H218" s="32"/>
      <c r="I218" s="31"/>
      <c r="J218" s="34" t="str">
        <f aca="true">IF(TRIM(A218)="","",IF(D218="Выполнено","Выполнено",IF(OR(C218="Срочно",AND(F218&lt;&gt;"",F218&lt;=TODAY())),"Срочные",IF(OR(D218="Отложено",C218="Низкий",AND(F218&lt;&gt;"",F218&gt;TODAY()+Справочники!$H$2)),"Плановые","Текущие"))))</f>
        <v/>
      </c>
      <c r="K218" s="35" t="str">
        <f aca="true">IF(OR(A218="",D218="Выполнено"),"",IF(F218="",IF(AND(G218&lt;&gt;"",G218&lt;&gt;"Разово"),"↻ "&amp;G218,""),IF(F218&lt;TODAY(),"Просрочено на "&amp;(TODAY()-F218)&amp;" дн.",IF(F218=TODAY(),"Сегодня",IF(F218=TODAY()+1,"Завтра","Через "&amp;(F218-TODAY())&amp;" дн.")))))</f>
        <v/>
      </c>
      <c r="L218" s="0" t="str">
        <f aca="true">IF(J218="","",(IF(AND(F218&lt;&gt;"",F218&lt;TODAY()),0,1)*10000000+IFERROR(MATCH(C218,{"Срочно","Высокий","Средний","Низкий"},0),5)*100000+IF(F218="",99999,F218))*1000+ROW())</f>
        <v/>
      </c>
      <c r="M218" s="0" t="str">
        <f aca="false">IF(AND($J218="Срочные",OR(Главная!$F$6="Все",$B218=Главная!$F$6),OR(Главная!$F$7="Все",$C218=Главная!$F$7)),$L218,"")</f>
        <v/>
      </c>
      <c r="N218" s="0" t="str">
        <f aca="false">IF(AND($J218="Текущие",OR(Главная!$F$6="Все",$B218=Главная!$F$6),OR(Главная!$F$7="Все",$C218=Главная!$F$7)),$L218,"")</f>
        <v/>
      </c>
      <c r="O218" s="0" t="str">
        <f aca="false">IF(AND($J218="Плановые",OR(Главная!$F$6="Все",$B218=Главная!$F$6),OR(Главная!$F$7="Все",$C218=Главная!$F$7)),$L218,"")</f>
        <v/>
      </c>
      <c r="P218" s="0" t="str">
        <f aca="false">IF(J218="Выполнено",ROW(),"")</f>
        <v/>
      </c>
    </row>
    <row r="219" customFormat="false" ht="21.75" hidden="false" customHeight="true" outlineLevel="0" collapsed="false">
      <c r="A219" s="31"/>
      <c r="B219" s="31"/>
      <c r="C219" s="32"/>
      <c r="D219" s="32"/>
      <c r="E219" s="33"/>
      <c r="F219" s="33"/>
      <c r="G219" s="32"/>
      <c r="H219" s="32"/>
      <c r="I219" s="31"/>
      <c r="J219" s="34" t="str">
        <f aca="true">IF(TRIM(A219)="","",IF(D219="Выполнено","Выполнено",IF(OR(C219="Срочно",AND(F219&lt;&gt;"",F219&lt;=TODAY())),"Срочные",IF(OR(D219="Отложено",C219="Низкий",AND(F219&lt;&gt;"",F219&gt;TODAY()+Справочники!$H$2)),"Плановые","Текущие"))))</f>
        <v/>
      </c>
      <c r="K219" s="35" t="str">
        <f aca="true">IF(OR(A219="",D219="Выполнено"),"",IF(F219="",IF(AND(G219&lt;&gt;"",G219&lt;&gt;"Разово"),"↻ "&amp;G219,""),IF(F219&lt;TODAY(),"Просрочено на "&amp;(TODAY()-F219)&amp;" дн.",IF(F219=TODAY(),"Сегодня",IF(F219=TODAY()+1,"Завтра","Через "&amp;(F219-TODAY())&amp;" дн.")))))</f>
        <v/>
      </c>
      <c r="L219" s="0" t="str">
        <f aca="true">IF(J219="","",(IF(AND(F219&lt;&gt;"",F219&lt;TODAY()),0,1)*10000000+IFERROR(MATCH(C219,{"Срочно","Высокий","Средний","Низкий"},0),5)*100000+IF(F219="",99999,F219))*1000+ROW())</f>
        <v/>
      </c>
      <c r="M219" s="0" t="str">
        <f aca="false">IF(AND($J219="Срочные",OR(Главная!$F$6="Все",$B219=Главная!$F$6),OR(Главная!$F$7="Все",$C219=Главная!$F$7)),$L219,"")</f>
        <v/>
      </c>
      <c r="N219" s="0" t="str">
        <f aca="false">IF(AND($J219="Текущие",OR(Главная!$F$6="Все",$B219=Главная!$F$6),OR(Главная!$F$7="Все",$C219=Главная!$F$7)),$L219,"")</f>
        <v/>
      </c>
      <c r="O219" s="0" t="str">
        <f aca="false">IF(AND($J219="Плановые",OR(Главная!$F$6="Все",$B219=Главная!$F$6),OR(Главная!$F$7="Все",$C219=Главная!$F$7)),$L219,"")</f>
        <v/>
      </c>
      <c r="P219" s="0" t="str">
        <f aca="false">IF(J219="Выполнено",ROW(),"")</f>
        <v/>
      </c>
    </row>
    <row r="220" customFormat="false" ht="21.75" hidden="false" customHeight="true" outlineLevel="0" collapsed="false">
      <c r="A220" s="31"/>
      <c r="B220" s="31"/>
      <c r="C220" s="32"/>
      <c r="D220" s="32"/>
      <c r="E220" s="33"/>
      <c r="F220" s="33"/>
      <c r="G220" s="32"/>
      <c r="H220" s="32"/>
      <c r="I220" s="31"/>
      <c r="J220" s="34" t="str">
        <f aca="true">IF(TRIM(A220)="","",IF(D220="Выполнено","Выполнено",IF(OR(C220="Срочно",AND(F220&lt;&gt;"",F220&lt;=TODAY())),"Срочные",IF(OR(D220="Отложено",C220="Низкий",AND(F220&lt;&gt;"",F220&gt;TODAY()+Справочники!$H$2)),"Плановые","Текущие"))))</f>
        <v/>
      </c>
      <c r="K220" s="35" t="str">
        <f aca="true">IF(OR(A220="",D220="Выполнено"),"",IF(F220="",IF(AND(G220&lt;&gt;"",G220&lt;&gt;"Разово"),"↻ "&amp;G220,""),IF(F220&lt;TODAY(),"Просрочено на "&amp;(TODAY()-F220)&amp;" дн.",IF(F220=TODAY(),"Сегодня",IF(F220=TODAY()+1,"Завтра","Через "&amp;(F220-TODAY())&amp;" дн.")))))</f>
        <v/>
      </c>
      <c r="L220" s="0" t="str">
        <f aca="true">IF(J220="","",(IF(AND(F220&lt;&gt;"",F220&lt;TODAY()),0,1)*10000000+IFERROR(MATCH(C220,{"Срочно","Высокий","Средний","Низкий"},0),5)*100000+IF(F220="",99999,F220))*1000+ROW())</f>
        <v/>
      </c>
      <c r="M220" s="0" t="str">
        <f aca="false">IF(AND($J220="Срочные",OR(Главная!$F$6="Все",$B220=Главная!$F$6),OR(Главная!$F$7="Все",$C220=Главная!$F$7)),$L220,"")</f>
        <v/>
      </c>
      <c r="N220" s="0" t="str">
        <f aca="false">IF(AND($J220="Текущие",OR(Главная!$F$6="Все",$B220=Главная!$F$6),OR(Главная!$F$7="Все",$C220=Главная!$F$7)),$L220,"")</f>
        <v/>
      </c>
      <c r="O220" s="0" t="str">
        <f aca="false">IF(AND($J220="Плановые",OR(Главная!$F$6="Все",$B220=Главная!$F$6),OR(Главная!$F$7="Все",$C220=Главная!$F$7)),$L220,"")</f>
        <v/>
      </c>
      <c r="P220" s="0" t="str">
        <f aca="false">IF(J220="Выполнено",ROW(),"")</f>
        <v/>
      </c>
    </row>
    <row r="221" customFormat="false" ht="21.75" hidden="false" customHeight="true" outlineLevel="0" collapsed="false">
      <c r="A221" s="31"/>
      <c r="B221" s="31"/>
      <c r="C221" s="32"/>
      <c r="D221" s="32"/>
      <c r="E221" s="33"/>
      <c r="F221" s="33"/>
      <c r="G221" s="32"/>
      <c r="H221" s="32"/>
      <c r="I221" s="31"/>
      <c r="J221" s="34" t="str">
        <f aca="true">IF(TRIM(A221)="","",IF(D221="Выполнено","Выполнено",IF(OR(C221="Срочно",AND(F221&lt;&gt;"",F221&lt;=TODAY())),"Срочные",IF(OR(D221="Отложено",C221="Низкий",AND(F221&lt;&gt;"",F221&gt;TODAY()+Справочники!$H$2)),"Плановые","Текущие"))))</f>
        <v/>
      </c>
      <c r="K221" s="35" t="str">
        <f aca="true">IF(OR(A221="",D221="Выполнено"),"",IF(F221="",IF(AND(G221&lt;&gt;"",G221&lt;&gt;"Разово"),"↻ "&amp;G221,""),IF(F221&lt;TODAY(),"Просрочено на "&amp;(TODAY()-F221)&amp;" дн.",IF(F221=TODAY(),"Сегодня",IF(F221=TODAY()+1,"Завтра","Через "&amp;(F221-TODAY())&amp;" дн.")))))</f>
        <v/>
      </c>
      <c r="L221" s="0" t="str">
        <f aca="true">IF(J221="","",(IF(AND(F221&lt;&gt;"",F221&lt;TODAY()),0,1)*10000000+IFERROR(MATCH(C221,{"Срочно","Высокий","Средний","Низкий"},0),5)*100000+IF(F221="",99999,F221))*1000+ROW())</f>
        <v/>
      </c>
      <c r="M221" s="0" t="str">
        <f aca="false">IF(AND($J221="Срочные",OR(Главная!$F$6="Все",$B221=Главная!$F$6),OR(Главная!$F$7="Все",$C221=Главная!$F$7)),$L221,"")</f>
        <v/>
      </c>
      <c r="N221" s="0" t="str">
        <f aca="false">IF(AND($J221="Текущие",OR(Главная!$F$6="Все",$B221=Главная!$F$6),OR(Главная!$F$7="Все",$C221=Главная!$F$7)),$L221,"")</f>
        <v/>
      </c>
      <c r="O221" s="0" t="str">
        <f aca="false">IF(AND($J221="Плановые",OR(Главная!$F$6="Все",$B221=Главная!$F$6),OR(Главная!$F$7="Все",$C221=Главная!$F$7)),$L221,"")</f>
        <v/>
      </c>
      <c r="P221" s="0" t="str">
        <f aca="false">IF(J221="Выполнено",ROW(),"")</f>
        <v/>
      </c>
    </row>
    <row r="222" customFormat="false" ht="21.75" hidden="false" customHeight="true" outlineLevel="0" collapsed="false">
      <c r="A222" s="31"/>
      <c r="B222" s="31"/>
      <c r="C222" s="32"/>
      <c r="D222" s="32"/>
      <c r="E222" s="33"/>
      <c r="F222" s="33"/>
      <c r="G222" s="32"/>
      <c r="H222" s="32"/>
      <c r="I222" s="31"/>
      <c r="J222" s="34" t="str">
        <f aca="true">IF(TRIM(A222)="","",IF(D222="Выполнено","Выполнено",IF(OR(C222="Срочно",AND(F222&lt;&gt;"",F222&lt;=TODAY())),"Срочные",IF(OR(D222="Отложено",C222="Низкий",AND(F222&lt;&gt;"",F222&gt;TODAY()+Справочники!$H$2)),"Плановые","Текущие"))))</f>
        <v/>
      </c>
      <c r="K222" s="35" t="str">
        <f aca="true">IF(OR(A222="",D222="Выполнено"),"",IF(F222="",IF(AND(G222&lt;&gt;"",G222&lt;&gt;"Разово"),"↻ "&amp;G222,""),IF(F222&lt;TODAY(),"Просрочено на "&amp;(TODAY()-F222)&amp;" дн.",IF(F222=TODAY(),"Сегодня",IF(F222=TODAY()+1,"Завтра","Через "&amp;(F222-TODAY())&amp;" дн.")))))</f>
        <v/>
      </c>
      <c r="L222" s="0" t="str">
        <f aca="true">IF(J222="","",(IF(AND(F222&lt;&gt;"",F222&lt;TODAY()),0,1)*10000000+IFERROR(MATCH(C222,{"Срочно","Высокий","Средний","Низкий"},0),5)*100000+IF(F222="",99999,F222))*1000+ROW())</f>
        <v/>
      </c>
      <c r="M222" s="0" t="str">
        <f aca="false">IF(AND($J222="Срочные",OR(Главная!$F$6="Все",$B222=Главная!$F$6),OR(Главная!$F$7="Все",$C222=Главная!$F$7)),$L222,"")</f>
        <v/>
      </c>
      <c r="N222" s="0" t="str">
        <f aca="false">IF(AND($J222="Текущие",OR(Главная!$F$6="Все",$B222=Главная!$F$6),OR(Главная!$F$7="Все",$C222=Главная!$F$7)),$L222,"")</f>
        <v/>
      </c>
      <c r="O222" s="0" t="str">
        <f aca="false">IF(AND($J222="Плановые",OR(Главная!$F$6="Все",$B222=Главная!$F$6),OR(Главная!$F$7="Все",$C222=Главная!$F$7)),$L222,"")</f>
        <v/>
      </c>
      <c r="P222" s="0" t="str">
        <f aca="false">IF(J222="Выполнено",ROW(),"")</f>
        <v/>
      </c>
    </row>
    <row r="223" customFormat="false" ht="21.75" hidden="false" customHeight="true" outlineLevel="0" collapsed="false">
      <c r="A223" s="31"/>
      <c r="B223" s="31"/>
      <c r="C223" s="32"/>
      <c r="D223" s="32"/>
      <c r="E223" s="33"/>
      <c r="F223" s="33"/>
      <c r="G223" s="32"/>
      <c r="H223" s="32"/>
      <c r="I223" s="31"/>
      <c r="J223" s="34" t="str">
        <f aca="true">IF(TRIM(A223)="","",IF(D223="Выполнено","Выполнено",IF(OR(C223="Срочно",AND(F223&lt;&gt;"",F223&lt;=TODAY())),"Срочные",IF(OR(D223="Отложено",C223="Низкий",AND(F223&lt;&gt;"",F223&gt;TODAY()+Справочники!$H$2)),"Плановые","Текущие"))))</f>
        <v/>
      </c>
      <c r="K223" s="35" t="str">
        <f aca="true">IF(OR(A223="",D223="Выполнено"),"",IF(F223="",IF(AND(G223&lt;&gt;"",G223&lt;&gt;"Разово"),"↻ "&amp;G223,""),IF(F223&lt;TODAY(),"Просрочено на "&amp;(TODAY()-F223)&amp;" дн.",IF(F223=TODAY(),"Сегодня",IF(F223=TODAY()+1,"Завтра","Через "&amp;(F223-TODAY())&amp;" дн.")))))</f>
        <v/>
      </c>
      <c r="L223" s="0" t="str">
        <f aca="true">IF(J223="","",(IF(AND(F223&lt;&gt;"",F223&lt;TODAY()),0,1)*10000000+IFERROR(MATCH(C223,{"Срочно","Высокий","Средний","Низкий"},0),5)*100000+IF(F223="",99999,F223))*1000+ROW())</f>
        <v/>
      </c>
      <c r="M223" s="0" t="str">
        <f aca="false">IF(AND($J223="Срочные",OR(Главная!$F$6="Все",$B223=Главная!$F$6),OR(Главная!$F$7="Все",$C223=Главная!$F$7)),$L223,"")</f>
        <v/>
      </c>
      <c r="N223" s="0" t="str">
        <f aca="false">IF(AND($J223="Текущие",OR(Главная!$F$6="Все",$B223=Главная!$F$6),OR(Главная!$F$7="Все",$C223=Главная!$F$7)),$L223,"")</f>
        <v/>
      </c>
      <c r="O223" s="0" t="str">
        <f aca="false">IF(AND($J223="Плановые",OR(Главная!$F$6="Все",$B223=Главная!$F$6),OR(Главная!$F$7="Все",$C223=Главная!$F$7)),$L223,"")</f>
        <v/>
      </c>
      <c r="P223" s="0" t="str">
        <f aca="false">IF(J223="Выполнено",ROW(),"")</f>
        <v/>
      </c>
    </row>
    <row r="224" customFormat="false" ht="21.75" hidden="false" customHeight="true" outlineLevel="0" collapsed="false">
      <c r="A224" s="31"/>
      <c r="B224" s="31"/>
      <c r="C224" s="32"/>
      <c r="D224" s="32"/>
      <c r="E224" s="33"/>
      <c r="F224" s="33"/>
      <c r="G224" s="32"/>
      <c r="H224" s="32"/>
      <c r="I224" s="31"/>
      <c r="J224" s="34" t="str">
        <f aca="true">IF(TRIM(A224)="","",IF(D224="Выполнено","Выполнено",IF(OR(C224="Срочно",AND(F224&lt;&gt;"",F224&lt;=TODAY())),"Срочные",IF(OR(D224="Отложено",C224="Низкий",AND(F224&lt;&gt;"",F224&gt;TODAY()+Справочники!$H$2)),"Плановые","Текущие"))))</f>
        <v/>
      </c>
      <c r="K224" s="35" t="str">
        <f aca="true">IF(OR(A224="",D224="Выполнено"),"",IF(F224="",IF(AND(G224&lt;&gt;"",G224&lt;&gt;"Разово"),"↻ "&amp;G224,""),IF(F224&lt;TODAY(),"Просрочено на "&amp;(TODAY()-F224)&amp;" дн.",IF(F224=TODAY(),"Сегодня",IF(F224=TODAY()+1,"Завтра","Через "&amp;(F224-TODAY())&amp;" дн.")))))</f>
        <v/>
      </c>
      <c r="L224" s="0" t="str">
        <f aca="true">IF(J224="","",(IF(AND(F224&lt;&gt;"",F224&lt;TODAY()),0,1)*10000000+IFERROR(MATCH(C224,{"Срочно","Высокий","Средний","Низкий"},0),5)*100000+IF(F224="",99999,F224))*1000+ROW())</f>
        <v/>
      </c>
      <c r="M224" s="0" t="str">
        <f aca="false">IF(AND($J224="Срочные",OR(Главная!$F$6="Все",$B224=Главная!$F$6),OR(Главная!$F$7="Все",$C224=Главная!$F$7)),$L224,"")</f>
        <v/>
      </c>
      <c r="N224" s="0" t="str">
        <f aca="false">IF(AND($J224="Текущие",OR(Главная!$F$6="Все",$B224=Главная!$F$6),OR(Главная!$F$7="Все",$C224=Главная!$F$7)),$L224,"")</f>
        <v/>
      </c>
      <c r="O224" s="0" t="str">
        <f aca="false">IF(AND($J224="Плановые",OR(Главная!$F$6="Все",$B224=Главная!$F$6),OR(Главная!$F$7="Все",$C224=Главная!$F$7)),$L224,"")</f>
        <v/>
      </c>
      <c r="P224" s="0" t="str">
        <f aca="false">IF(J224="Выполнено",ROW(),"")</f>
        <v/>
      </c>
    </row>
    <row r="225" customFormat="false" ht="21.75" hidden="false" customHeight="true" outlineLevel="0" collapsed="false">
      <c r="A225" s="31"/>
      <c r="B225" s="31"/>
      <c r="C225" s="32"/>
      <c r="D225" s="32"/>
      <c r="E225" s="33"/>
      <c r="F225" s="33"/>
      <c r="G225" s="32"/>
      <c r="H225" s="32"/>
      <c r="I225" s="31"/>
      <c r="J225" s="34" t="str">
        <f aca="true">IF(TRIM(A225)="","",IF(D225="Выполнено","Выполнено",IF(OR(C225="Срочно",AND(F225&lt;&gt;"",F225&lt;=TODAY())),"Срочные",IF(OR(D225="Отложено",C225="Низкий",AND(F225&lt;&gt;"",F225&gt;TODAY()+Справочники!$H$2)),"Плановые","Текущие"))))</f>
        <v/>
      </c>
      <c r="K225" s="35" t="str">
        <f aca="true">IF(OR(A225="",D225="Выполнено"),"",IF(F225="",IF(AND(G225&lt;&gt;"",G225&lt;&gt;"Разово"),"↻ "&amp;G225,""),IF(F225&lt;TODAY(),"Просрочено на "&amp;(TODAY()-F225)&amp;" дн.",IF(F225=TODAY(),"Сегодня",IF(F225=TODAY()+1,"Завтра","Через "&amp;(F225-TODAY())&amp;" дн.")))))</f>
        <v/>
      </c>
      <c r="L225" s="0" t="str">
        <f aca="true">IF(J225="","",(IF(AND(F225&lt;&gt;"",F225&lt;TODAY()),0,1)*10000000+IFERROR(MATCH(C225,{"Срочно","Высокий","Средний","Низкий"},0),5)*100000+IF(F225="",99999,F225))*1000+ROW())</f>
        <v/>
      </c>
      <c r="M225" s="0" t="str">
        <f aca="false">IF(AND($J225="Срочные",OR(Главная!$F$6="Все",$B225=Главная!$F$6),OR(Главная!$F$7="Все",$C225=Главная!$F$7)),$L225,"")</f>
        <v/>
      </c>
      <c r="N225" s="0" t="str">
        <f aca="false">IF(AND($J225="Текущие",OR(Главная!$F$6="Все",$B225=Главная!$F$6),OR(Главная!$F$7="Все",$C225=Главная!$F$7)),$L225,"")</f>
        <v/>
      </c>
      <c r="O225" s="0" t="str">
        <f aca="false">IF(AND($J225="Плановые",OR(Главная!$F$6="Все",$B225=Главная!$F$6),OR(Главная!$F$7="Все",$C225=Главная!$F$7)),$L225,"")</f>
        <v/>
      </c>
      <c r="P225" s="0" t="str">
        <f aca="false">IF(J225="Выполнено",ROW(),"")</f>
        <v/>
      </c>
    </row>
    <row r="226" customFormat="false" ht="21.75" hidden="false" customHeight="true" outlineLevel="0" collapsed="false">
      <c r="A226" s="31"/>
      <c r="B226" s="31"/>
      <c r="C226" s="32"/>
      <c r="D226" s="32"/>
      <c r="E226" s="33"/>
      <c r="F226" s="33"/>
      <c r="G226" s="32"/>
      <c r="H226" s="32"/>
      <c r="I226" s="31"/>
      <c r="J226" s="34" t="str">
        <f aca="true">IF(TRIM(A226)="","",IF(D226="Выполнено","Выполнено",IF(OR(C226="Срочно",AND(F226&lt;&gt;"",F226&lt;=TODAY())),"Срочные",IF(OR(D226="Отложено",C226="Низкий",AND(F226&lt;&gt;"",F226&gt;TODAY()+Справочники!$H$2)),"Плановые","Текущие"))))</f>
        <v/>
      </c>
      <c r="K226" s="35" t="str">
        <f aca="true">IF(OR(A226="",D226="Выполнено"),"",IF(F226="",IF(AND(G226&lt;&gt;"",G226&lt;&gt;"Разово"),"↻ "&amp;G226,""),IF(F226&lt;TODAY(),"Просрочено на "&amp;(TODAY()-F226)&amp;" дн.",IF(F226=TODAY(),"Сегодня",IF(F226=TODAY()+1,"Завтра","Через "&amp;(F226-TODAY())&amp;" дн.")))))</f>
        <v/>
      </c>
      <c r="L226" s="0" t="str">
        <f aca="true">IF(J226="","",(IF(AND(F226&lt;&gt;"",F226&lt;TODAY()),0,1)*10000000+IFERROR(MATCH(C226,{"Срочно","Высокий","Средний","Низкий"},0),5)*100000+IF(F226="",99999,F226))*1000+ROW())</f>
        <v/>
      </c>
      <c r="M226" s="0" t="str">
        <f aca="false">IF(AND($J226="Срочные",OR(Главная!$F$6="Все",$B226=Главная!$F$6),OR(Главная!$F$7="Все",$C226=Главная!$F$7)),$L226,"")</f>
        <v/>
      </c>
      <c r="N226" s="0" t="str">
        <f aca="false">IF(AND($J226="Текущие",OR(Главная!$F$6="Все",$B226=Главная!$F$6),OR(Главная!$F$7="Все",$C226=Главная!$F$7)),$L226,"")</f>
        <v/>
      </c>
      <c r="O226" s="0" t="str">
        <f aca="false">IF(AND($J226="Плановые",OR(Главная!$F$6="Все",$B226=Главная!$F$6),OR(Главная!$F$7="Все",$C226=Главная!$F$7)),$L226,"")</f>
        <v/>
      </c>
      <c r="P226" s="0" t="str">
        <f aca="false">IF(J226="Выполнено",ROW(),"")</f>
        <v/>
      </c>
    </row>
    <row r="227" customFormat="false" ht="21.75" hidden="false" customHeight="true" outlineLevel="0" collapsed="false">
      <c r="A227" s="31"/>
      <c r="B227" s="31"/>
      <c r="C227" s="32"/>
      <c r="D227" s="32"/>
      <c r="E227" s="33"/>
      <c r="F227" s="33"/>
      <c r="G227" s="32"/>
      <c r="H227" s="32"/>
      <c r="I227" s="31"/>
      <c r="J227" s="34" t="str">
        <f aca="true">IF(TRIM(A227)="","",IF(D227="Выполнено","Выполнено",IF(OR(C227="Срочно",AND(F227&lt;&gt;"",F227&lt;=TODAY())),"Срочные",IF(OR(D227="Отложено",C227="Низкий",AND(F227&lt;&gt;"",F227&gt;TODAY()+Справочники!$H$2)),"Плановые","Текущие"))))</f>
        <v/>
      </c>
      <c r="K227" s="35" t="str">
        <f aca="true">IF(OR(A227="",D227="Выполнено"),"",IF(F227="",IF(AND(G227&lt;&gt;"",G227&lt;&gt;"Разово"),"↻ "&amp;G227,""),IF(F227&lt;TODAY(),"Просрочено на "&amp;(TODAY()-F227)&amp;" дн.",IF(F227=TODAY(),"Сегодня",IF(F227=TODAY()+1,"Завтра","Через "&amp;(F227-TODAY())&amp;" дн.")))))</f>
        <v/>
      </c>
      <c r="L227" s="0" t="str">
        <f aca="true">IF(J227="","",(IF(AND(F227&lt;&gt;"",F227&lt;TODAY()),0,1)*10000000+IFERROR(MATCH(C227,{"Срочно","Высокий","Средний","Низкий"},0),5)*100000+IF(F227="",99999,F227))*1000+ROW())</f>
        <v/>
      </c>
      <c r="M227" s="0" t="str">
        <f aca="false">IF(AND($J227="Срочные",OR(Главная!$F$6="Все",$B227=Главная!$F$6),OR(Главная!$F$7="Все",$C227=Главная!$F$7)),$L227,"")</f>
        <v/>
      </c>
      <c r="N227" s="0" t="str">
        <f aca="false">IF(AND($J227="Текущие",OR(Главная!$F$6="Все",$B227=Главная!$F$6),OR(Главная!$F$7="Все",$C227=Главная!$F$7)),$L227,"")</f>
        <v/>
      </c>
      <c r="O227" s="0" t="str">
        <f aca="false">IF(AND($J227="Плановые",OR(Главная!$F$6="Все",$B227=Главная!$F$6),OR(Главная!$F$7="Все",$C227=Главная!$F$7)),$L227,"")</f>
        <v/>
      </c>
      <c r="P227" s="0" t="str">
        <f aca="false">IF(J227="Выполнено",ROW(),"")</f>
        <v/>
      </c>
    </row>
    <row r="228" customFormat="false" ht="21.75" hidden="false" customHeight="true" outlineLevel="0" collapsed="false">
      <c r="A228" s="31"/>
      <c r="B228" s="31"/>
      <c r="C228" s="32"/>
      <c r="D228" s="32"/>
      <c r="E228" s="33"/>
      <c r="F228" s="33"/>
      <c r="G228" s="32"/>
      <c r="H228" s="32"/>
      <c r="I228" s="31"/>
      <c r="J228" s="34" t="str">
        <f aca="true">IF(TRIM(A228)="","",IF(D228="Выполнено","Выполнено",IF(OR(C228="Срочно",AND(F228&lt;&gt;"",F228&lt;=TODAY())),"Срочные",IF(OR(D228="Отложено",C228="Низкий",AND(F228&lt;&gt;"",F228&gt;TODAY()+Справочники!$H$2)),"Плановые","Текущие"))))</f>
        <v/>
      </c>
      <c r="K228" s="35" t="str">
        <f aca="true">IF(OR(A228="",D228="Выполнено"),"",IF(F228="",IF(AND(G228&lt;&gt;"",G228&lt;&gt;"Разово"),"↻ "&amp;G228,""),IF(F228&lt;TODAY(),"Просрочено на "&amp;(TODAY()-F228)&amp;" дн.",IF(F228=TODAY(),"Сегодня",IF(F228=TODAY()+1,"Завтра","Через "&amp;(F228-TODAY())&amp;" дн.")))))</f>
        <v/>
      </c>
      <c r="L228" s="0" t="str">
        <f aca="true">IF(J228="","",(IF(AND(F228&lt;&gt;"",F228&lt;TODAY()),0,1)*10000000+IFERROR(MATCH(C228,{"Срочно","Высокий","Средний","Низкий"},0),5)*100000+IF(F228="",99999,F228))*1000+ROW())</f>
        <v/>
      </c>
      <c r="M228" s="0" t="str">
        <f aca="false">IF(AND($J228="Срочные",OR(Главная!$F$6="Все",$B228=Главная!$F$6),OR(Главная!$F$7="Все",$C228=Главная!$F$7)),$L228,"")</f>
        <v/>
      </c>
      <c r="N228" s="0" t="str">
        <f aca="false">IF(AND($J228="Текущие",OR(Главная!$F$6="Все",$B228=Главная!$F$6),OR(Главная!$F$7="Все",$C228=Главная!$F$7)),$L228,"")</f>
        <v/>
      </c>
      <c r="O228" s="0" t="str">
        <f aca="false">IF(AND($J228="Плановые",OR(Главная!$F$6="Все",$B228=Главная!$F$6),OR(Главная!$F$7="Все",$C228=Главная!$F$7)),$L228,"")</f>
        <v/>
      </c>
      <c r="P228" s="0" t="str">
        <f aca="false">IF(J228="Выполнено",ROW(),"")</f>
        <v/>
      </c>
    </row>
    <row r="229" customFormat="false" ht="21.75" hidden="false" customHeight="true" outlineLevel="0" collapsed="false">
      <c r="A229" s="31"/>
      <c r="B229" s="31"/>
      <c r="C229" s="32"/>
      <c r="D229" s="32"/>
      <c r="E229" s="33"/>
      <c r="F229" s="33"/>
      <c r="G229" s="32"/>
      <c r="H229" s="32"/>
      <c r="I229" s="31"/>
      <c r="J229" s="34" t="str">
        <f aca="true">IF(TRIM(A229)="","",IF(D229="Выполнено","Выполнено",IF(OR(C229="Срочно",AND(F229&lt;&gt;"",F229&lt;=TODAY())),"Срочные",IF(OR(D229="Отложено",C229="Низкий",AND(F229&lt;&gt;"",F229&gt;TODAY()+Справочники!$H$2)),"Плановые","Текущие"))))</f>
        <v/>
      </c>
      <c r="K229" s="35" t="str">
        <f aca="true">IF(OR(A229="",D229="Выполнено"),"",IF(F229="",IF(AND(G229&lt;&gt;"",G229&lt;&gt;"Разово"),"↻ "&amp;G229,""),IF(F229&lt;TODAY(),"Просрочено на "&amp;(TODAY()-F229)&amp;" дн.",IF(F229=TODAY(),"Сегодня",IF(F229=TODAY()+1,"Завтра","Через "&amp;(F229-TODAY())&amp;" дн.")))))</f>
        <v/>
      </c>
      <c r="L229" s="0" t="str">
        <f aca="true">IF(J229="","",(IF(AND(F229&lt;&gt;"",F229&lt;TODAY()),0,1)*10000000+IFERROR(MATCH(C229,{"Срочно","Высокий","Средний","Низкий"},0),5)*100000+IF(F229="",99999,F229))*1000+ROW())</f>
        <v/>
      </c>
      <c r="M229" s="0" t="str">
        <f aca="false">IF(AND($J229="Срочные",OR(Главная!$F$6="Все",$B229=Главная!$F$6),OR(Главная!$F$7="Все",$C229=Главная!$F$7)),$L229,"")</f>
        <v/>
      </c>
      <c r="N229" s="0" t="str">
        <f aca="false">IF(AND($J229="Текущие",OR(Главная!$F$6="Все",$B229=Главная!$F$6),OR(Главная!$F$7="Все",$C229=Главная!$F$7)),$L229,"")</f>
        <v/>
      </c>
      <c r="O229" s="0" t="str">
        <f aca="false">IF(AND($J229="Плановые",OR(Главная!$F$6="Все",$B229=Главная!$F$6),OR(Главная!$F$7="Все",$C229=Главная!$F$7)),$L229,"")</f>
        <v/>
      </c>
      <c r="P229" s="0" t="str">
        <f aca="false">IF(J229="Выполнено",ROW(),"")</f>
        <v/>
      </c>
    </row>
    <row r="230" customFormat="false" ht="21.75" hidden="false" customHeight="true" outlineLevel="0" collapsed="false">
      <c r="A230" s="31"/>
      <c r="B230" s="31"/>
      <c r="C230" s="32"/>
      <c r="D230" s="32"/>
      <c r="E230" s="33"/>
      <c r="F230" s="33"/>
      <c r="G230" s="32"/>
      <c r="H230" s="32"/>
      <c r="I230" s="31"/>
      <c r="J230" s="34" t="str">
        <f aca="true">IF(TRIM(A230)="","",IF(D230="Выполнено","Выполнено",IF(OR(C230="Срочно",AND(F230&lt;&gt;"",F230&lt;=TODAY())),"Срочные",IF(OR(D230="Отложено",C230="Низкий",AND(F230&lt;&gt;"",F230&gt;TODAY()+Справочники!$H$2)),"Плановые","Текущие"))))</f>
        <v/>
      </c>
      <c r="K230" s="35" t="str">
        <f aca="true">IF(OR(A230="",D230="Выполнено"),"",IF(F230="",IF(AND(G230&lt;&gt;"",G230&lt;&gt;"Разово"),"↻ "&amp;G230,""),IF(F230&lt;TODAY(),"Просрочено на "&amp;(TODAY()-F230)&amp;" дн.",IF(F230=TODAY(),"Сегодня",IF(F230=TODAY()+1,"Завтра","Через "&amp;(F230-TODAY())&amp;" дн.")))))</f>
        <v/>
      </c>
      <c r="L230" s="0" t="str">
        <f aca="true">IF(J230="","",(IF(AND(F230&lt;&gt;"",F230&lt;TODAY()),0,1)*10000000+IFERROR(MATCH(C230,{"Срочно","Высокий","Средний","Низкий"},0),5)*100000+IF(F230="",99999,F230))*1000+ROW())</f>
        <v/>
      </c>
      <c r="M230" s="0" t="str">
        <f aca="false">IF(AND($J230="Срочные",OR(Главная!$F$6="Все",$B230=Главная!$F$6),OR(Главная!$F$7="Все",$C230=Главная!$F$7)),$L230,"")</f>
        <v/>
      </c>
      <c r="N230" s="0" t="str">
        <f aca="false">IF(AND($J230="Текущие",OR(Главная!$F$6="Все",$B230=Главная!$F$6),OR(Главная!$F$7="Все",$C230=Главная!$F$7)),$L230,"")</f>
        <v/>
      </c>
      <c r="O230" s="0" t="str">
        <f aca="false">IF(AND($J230="Плановые",OR(Главная!$F$6="Все",$B230=Главная!$F$6),OR(Главная!$F$7="Все",$C230=Главная!$F$7)),$L230,"")</f>
        <v/>
      </c>
      <c r="P230" s="0" t="str">
        <f aca="false">IF(J230="Выполнено",ROW(),"")</f>
        <v/>
      </c>
    </row>
    <row r="231" customFormat="false" ht="21.75" hidden="false" customHeight="true" outlineLevel="0" collapsed="false">
      <c r="A231" s="31"/>
      <c r="B231" s="31"/>
      <c r="C231" s="32"/>
      <c r="D231" s="32"/>
      <c r="E231" s="33"/>
      <c r="F231" s="33"/>
      <c r="G231" s="32"/>
      <c r="H231" s="32"/>
      <c r="I231" s="31"/>
      <c r="J231" s="34" t="str">
        <f aca="true">IF(TRIM(A231)="","",IF(D231="Выполнено","Выполнено",IF(OR(C231="Срочно",AND(F231&lt;&gt;"",F231&lt;=TODAY())),"Срочные",IF(OR(D231="Отложено",C231="Низкий",AND(F231&lt;&gt;"",F231&gt;TODAY()+Справочники!$H$2)),"Плановые","Текущие"))))</f>
        <v/>
      </c>
      <c r="K231" s="35" t="str">
        <f aca="true">IF(OR(A231="",D231="Выполнено"),"",IF(F231="",IF(AND(G231&lt;&gt;"",G231&lt;&gt;"Разово"),"↻ "&amp;G231,""),IF(F231&lt;TODAY(),"Просрочено на "&amp;(TODAY()-F231)&amp;" дн.",IF(F231=TODAY(),"Сегодня",IF(F231=TODAY()+1,"Завтра","Через "&amp;(F231-TODAY())&amp;" дн.")))))</f>
        <v/>
      </c>
      <c r="L231" s="0" t="str">
        <f aca="true">IF(J231="","",(IF(AND(F231&lt;&gt;"",F231&lt;TODAY()),0,1)*10000000+IFERROR(MATCH(C231,{"Срочно","Высокий","Средний","Низкий"},0),5)*100000+IF(F231="",99999,F231))*1000+ROW())</f>
        <v/>
      </c>
      <c r="M231" s="0" t="str">
        <f aca="false">IF(AND($J231="Срочные",OR(Главная!$F$6="Все",$B231=Главная!$F$6),OR(Главная!$F$7="Все",$C231=Главная!$F$7)),$L231,"")</f>
        <v/>
      </c>
      <c r="N231" s="0" t="str">
        <f aca="false">IF(AND($J231="Текущие",OR(Главная!$F$6="Все",$B231=Главная!$F$6),OR(Главная!$F$7="Все",$C231=Главная!$F$7)),$L231,"")</f>
        <v/>
      </c>
      <c r="O231" s="0" t="str">
        <f aca="false">IF(AND($J231="Плановые",OR(Главная!$F$6="Все",$B231=Главная!$F$6),OR(Главная!$F$7="Все",$C231=Главная!$F$7)),$L231,"")</f>
        <v/>
      </c>
      <c r="P231" s="0" t="str">
        <f aca="false">IF(J231="Выполнено",ROW(),"")</f>
        <v/>
      </c>
    </row>
    <row r="232" customFormat="false" ht="21.75" hidden="false" customHeight="true" outlineLevel="0" collapsed="false">
      <c r="A232" s="31"/>
      <c r="B232" s="31"/>
      <c r="C232" s="32"/>
      <c r="D232" s="32"/>
      <c r="E232" s="33"/>
      <c r="F232" s="33"/>
      <c r="G232" s="32"/>
      <c r="H232" s="32"/>
      <c r="I232" s="31"/>
      <c r="J232" s="34" t="str">
        <f aca="true">IF(TRIM(A232)="","",IF(D232="Выполнено","Выполнено",IF(OR(C232="Срочно",AND(F232&lt;&gt;"",F232&lt;=TODAY())),"Срочные",IF(OR(D232="Отложено",C232="Низкий",AND(F232&lt;&gt;"",F232&gt;TODAY()+Справочники!$H$2)),"Плановые","Текущие"))))</f>
        <v/>
      </c>
      <c r="K232" s="35" t="str">
        <f aca="true">IF(OR(A232="",D232="Выполнено"),"",IF(F232="",IF(AND(G232&lt;&gt;"",G232&lt;&gt;"Разово"),"↻ "&amp;G232,""),IF(F232&lt;TODAY(),"Просрочено на "&amp;(TODAY()-F232)&amp;" дн.",IF(F232=TODAY(),"Сегодня",IF(F232=TODAY()+1,"Завтра","Через "&amp;(F232-TODAY())&amp;" дн.")))))</f>
        <v/>
      </c>
      <c r="L232" s="0" t="str">
        <f aca="true">IF(J232="","",(IF(AND(F232&lt;&gt;"",F232&lt;TODAY()),0,1)*10000000+IFERROR(MATCH(C232,{"Срочно","Высокий","Средний","Низкий"},0),5)*100000+IF(F232="",99999,F232))*1000+ROW())</f>
        <v/>
      </c>
      <c r="M232" s="0" t="str">
        <f aca="false">IF(AND($J232="Срочные",OR(Главная!$F$6="Все",$B232=Главная!$F$6),OR(Главная!$F$7="Все",$C232=Главная!$F$7)),$L232,"")</f>
        <v/>
      </c>
      <c r="N232" s="0" t="str">
        <f aca="false">IF(AND($J232="Текущие",OR(Главная!$F$6="Все",$B232=Главная!$F$6),OR(Главная!$F$7="Все",$C232=Главная!$F$7)),$L232,"")</f>
        <v/>
      </c>
      <c r="O232" s="0" t="str">
        <f aca="false">IF(AND($J232="Плановые",OR(Главная!$F$6="Все",$B232=Главная!$F$6),OR(Главная!$F$7="Все",$C232=Главная!$F$7)),$L232,"")</f>
        <v/>
      </c>
      <c r="P232" s="0" t="str">
        <f aca="false">IF(J232="Выполнено",ROW(),"")</f>
        <v/>
      </c>
    </row>
    <row r="233" customFormat="false" ht="21.75" hidden="false" customHeight="true" outlineLevel="0" collapsed="false">
      <c r="A233" s="31"/>
      <c r="B233" s="31"/>
      <c r="C233" s="32"/>
      <c r="D233" s="32"/>
      <c r="E233" s="33"/>
      <c r="F233" s="33"/>
      <c r="G233" s="32"/>
      <c r="H233" s="32"/>
      <c r="I233" s="31"/>
      <c r="J233" s="34" t="str">
        <f aca="true">IF(TRIM(A233)="","",IF(D233="Выполнено","Выполнено",IF(OR(C233="Срочно",AND(F233&lt;&gt;"",F233&lt;=TODAY())),"Срочные",IF(OR(D233="Отложено",C233="Низкий",AND(F233&lt;&gt;"",F233&gt;TODAY()+Справочники!$H$2)),"Плановые","Текущие"))))</f>
        <v/>
      </c>
      <c r="K233" s="35" t="str">
        <f aca="true">IF(OR(A233="",D233="Выполнено"),"",IF(F233="",IF(AND(G233&lt;&gt;"",G233&lt;&gt;"Разово"),"↻ "&amp;G233,""),IF(F233&lt;TODAY(),"Просрочено на "&amp;(TODAY()-F233)&amp;" дн.",IF(F233=TODAY(),"Сегодня",IF(F233=TODAY()+1,"Завтра","Через "&amp;(F233-TODAY())&amp;" дн.")))))</f>
        <v/>
      </c>
      <c r="L233" s="0" t="str">
        <f aca="true">IF(J233="","",(IF(AND(F233&lt;&gt;"",F233&lt;TODAY()),0,1)*10000000+IFERROR(MATCH(C233,{"Срочно","Высокий","Средний","Низкий"},0),5)*100000+IF(F233="",99999,F233))*1000+ROW())</f>
        <v/>
      </c>
      <c r="M233" s="0" t="str">
        <f aca="false">IF(AND($J233="Срочные",OR(Главная!$F$6="Все",$B233=Главная!$F$6),OR(Главная!$F$7="Все",$C233=Главная!$F$7)),$L233,"")</f>
        <v/>
      </c>
      <c r="N233" s="0" t="str">
        <f aca="false">IF(AND($J233="Текущие",OR(Главная!$F$6="Все",$B233=Главная!$F$6),OR(Главная!$F$7="Все",$C233=Главная!$F$7)),$L233,"")</f>
        <v/>
      </c>
      <c r="O233" s="0" t="str">
        <f aca="false">IF(AND($J233="Плановые",OR(Главная!$F$6="Все",$B233=Главная!$F$6),OR(Главная!$F$7="Все",$C233=Главная!$F$7)),$L233,"")</f>
        <v/>
      </c>
      <c r="P233" s="0" t="str">
        <f aca="false">IF(J233="Выполнено",ROW(),"")</f>
        <v/>
      </c>
    </row>
    <row r="234" customFormat="false" ht="21.75" hidden="false" customHeight="true" outlineLevel="0" collapsed="false">
      <c r="A234" s="31"/>
      <c r="B234" s="31"/>
      <c r="C234" s="32"/>
      <c r="D234" s="32"/>
      <c r="E234" s="33"/>
      <c r="F234" s="33"/>
      <c r="G234" s="32"/>
      <c r="H234" s="32"/>
      <c r="I234" s="31"/>
      <c r="J234" s="34" t="str">
        <f aca="true">IF(TRIM(A234)="","",IF(D234="Выполнено","Выполнено",IF(OR(C234="Срочно",AND(F234&lt;&gt;"",F234&lt;=TODAY())),"Срочные",IF(OR(D234="Отложено",C234="Низкий",AND(F234&lt;&gt;"",F234&gt;TODAY()+Справочники!$H$2)),"Плановые","Текущие"))))</f>
        <v/>
      </c>
      <c r="K234" s="35" t="str">
        <f aca="true">IF(OR(A234="",D234="Выполнено"),"",IF(F234="",IF(AND(G234&lt;&gt;"",G234&lt;&gt;"Разово"),"↻ "&amp;G234,""),IF(F234&lt;TODAY(),"Просрочено на "&amp;(TODAY()-F234)&amp;" дн.",IF(F234=TODAY(),"Сегодня",IF(F234=TODAY()+1,"Завтра","Через "&amp;(F234-TODAY())&amp;" дн.")))))</f>
        <v/>
      </c>
      <c r="L234" s="0" t="str">
        <f aca="true">IF(J234="","",(IF(AND(F234&lt;&gt;"",F234&lt;TODAY()),0,1)*10000000+IFERROR(MATCH(C234,{"Срочно","Высокий","Средний","Низкий"},0),5)*100000+IF(F234="",99999,F234))*1000+ROW())</f>
        <v/>
      </c>
      <c r="M234" s="0" t="str">
        <f aca="false">IF(AND($J234="Срочные",OR(Главная!$F$6="Все",$B234=Главная!$F$6),OR(Главная!$F$7="Все",$C234=Главная!$F$7)),$L234,"")</f>
        <v/>
      </c>
      <c r="N234" s="0" t="str">
        <f aca="false">IF(AND($J234="Текущие",OR(Главная!$F$6="Все",$B234=Главная!$F$6),OR(Главная!$F$7="Все",$C234=Главная!$F$7)),$L234,"")</f>
        <v/>
      </c>
      <c r="O234" s="0" t="str">
        <f aca="false">IF(AND($J234="Плановые",OR(Главная!$F$6="Все",$B234=Главная!$F$6),OR(Главная!$F$7="Все",$C234=Главная!$F$7)),$L234,"")</f>
        <v/>
      </c>
      <c r="P234" s="0" t="str">
        <f aca="false">IF(J234="Выполнено",ROW(),"")</f>
        <v/>
      </c>
    </row>
    <row r="235" customFormat="false" ht="21.75" hidden="false" customHeight="true" outlineLevel="0" collapsed="false">
      <c r="A235" s="31"/>
      <c r="B235" s="31"/>
      <c r="C235" s="32"/>
      <c r="D235" s="32"/>
      <c r="E235" s="33"/>
      <c r="F235" s="33"/>
      <c r="G235" s="32"/>
      <c r="H235" s="32"/>
      <c r="I235" s="31"/>
      <c r="J235" s="34" t="str">
        <f aca="true">IF(TRIM(A235)="","",IF(D235="Выполнено","Выполнено",IF(OR(C235="Срочно",AND(F235&lt;&gt;"",F235&lt;=TODAY())),"Срочные",IF(OR(D235="Отложено",C235="Низкий",AND(F235&lt;&gt;"",F235&gt;TODAY()+Справочники!$H$2)),"Плановые","Текущие"))))</f>
        <v/>
      </c>
      <c r="K235" s="35" t="str">
        <f aca="true">IF(OR(A235="",D235="Выполнено"),"",IF(F235="",IF(AND(G235&lt;&gt;"",G235&lt;&gt;"Разово"),"↻ "&amp;G235,""),IF(F235&lt;TODAY(),"Просрочено на "&amp;(TODAY()-F235)&amp;" дн.",IF(F235=TODAY(),"Сегодня",IF(F235=TODAY()+1,"Завтра","Через "&amp;(F235-TODAY())&amp;" дн.")))))</f>
        <v/>
      </c>
      <c r="L235" s="0" t="str">
        <f aca="true">IF(J235="","",(IF(AND(F235&lt;&gt;"",F235&lt;TODAY()),0,1)*10000000+IFERROR(MATCH(C235,{"Срочно","Высокий","Средний","Низкий"},0),5)*100000+IF(F235="",99999,F235))*1000+ROW())</f>
        <v/>
      </c>
      <c r="M235" s="0" t="str">
        <f aca="false">IF(AND($J235="Срочные",OR(Главная!$F$6="Все",$B235=Главная!$F$6),OR(Главная!$F$7="Все",$C235=Главная!$F$7)),$L235,"")</f>
        <v/>
      </c>
      <c r="N235" s="0" t="str">
        <f aca="false">IF(AND($J235="Текущие",OR(Главная!$F$6="Все",$B235=Главная!$F$6),OR(Главная!$F$7="Все",$C235=Главная!$F$7)),$L235,"")</f>
        <v/>
      </c>
      <c r="O235" s="0" t="str">
        <f aca="false">IF(AND($J235="Плановые",OR(Главная!$F$6="Все",$B235=Главная!$F$6),OR(Главная!$F$7="Все",$C235=Главная!$F$7)),$L235,"")</f>
        <v/>
      </c>
      <c r="P235" s="0" t="str">
        <f aca="false">IF(J235="Выполнено",ROW(),"")</f>
        <v/>
      </c>
    </row>
    <row r="236" customFormat="false" ht="21.75" hidden="false" customHeight="true" outlineLevel="0" collapsed="false">
      <c r="A236" s="31"/>
      <c r="B236" s="31"/>
      <c r="C236" s="32"/>
      <c r="D236" s="32"/>
      <c r="E236" s="33"/>
      <c r="F236" s="33"/>
      <c r="G236" s="32"/>
      <c r="H236" s="32"/>
      <c r="I236" s="31"/>
      <c r="J236" s="34" t="str">
        <f aca="true">IF(TRIM(A236)="","",IF(D236="Выполнено","Выполнено",IF(OR(C236="Срочно",AND(F236&lt;&gt;"",F236&lt;=TODAY())),"Срочные",IF(OR(D236="Отложено",C236="Низкий",AND(F236&lt;&gt;"",F236&gt;TODAY()+Справочники!$H$2)),"Плановые","Текущие"))))</f>
        <v/>
      </c>
      <c r="K236" s="35" t="str">
        <f aca="true">IF(OR(A236="",D236="Выполнено"),"",IF(F236="",IF(AND(G236&lt;&gt;"",G236&lt;&gt;"Разово"),"↻ "&amp;G236,""),IF(F236&lt;TODAY(),"Просрочено на "&amp;(TODAY()-F236)&amp;" дн.",IF(F236=TODAY(),"Сегодня",IF(F236=TODAY()+1,"Завтра","Через "&amp;(F236-TODAY())&amp;" дн.")))))</f>
        <v/>
      </c>
      <c r="L236" s="0" t="str">
        <f aca="true">IF(J236="","",(IF(AND(F236&lt;&gt;"",F236&lt;TODAY()),0,1)*10000000+IFERROR(MATCH(C236,{"Срочно","Высокий","Средний","Низкий"},0),5)*100000+IF(F236="",99999,F236))*1000+ROW())</f>
        <v/>
      </c>
      <c r="M236" s="0" t="str">
        <f aca="false">IF(AND($J236="Срочные",OR(Главная!$F$6="Все",$B236=Главная!$F$6),OR(Главная!$F$7="Все",$C236=Главная!$F$7)),$L236,"")</f>
        <v/>
      </c>
      <c r="N236" s="0" t="str">
        <f aca="false">IF(AND($J236="Текущие",OR(Главная!$F$6="Все",$B236=Главная!$F$6),OR(Главная!$F$7="Все",$C236=Главная!$F$7)),$L236,"")</f>
        <v/>
      </c>
      <c r="O236" s="0" t="str">
        <f aca="false">IF(AND($J236="Плановые",OR(Главная!$F$6="Все",$B236=Главная!$F$6),OR(Главная!$F$7="Все",$C236=Главная!$F$7)),$L236,"")</f>
        <v/>
      </c>
      <c r="P236" s="0" t="str">
        <f aca="false">IF(J236="Выполнено",ROW(),"")</f>
        <v/>
      </c>
    </row>
    <row r="237" customFormat="false" ht="21.75" hidden="false" customHeight="true" outlineLevel="0" collapsed="false">
      <c r="A237" s="31"/>
      <c r="B237" s="31"/>
      <c r="C237" s="32"/>
      <c r="D237" s="32"/>
      <c r="E237" s="33"/>
      <c r="F237" s="33"/>
      <c r="G237" s="32"/>
      <c r="H237" s="32"/>
      <c r="I237" s="31"/>
      <c r="J237" s="34" t="str">
        <f aca="true">IF(TRIM(A237)="","",IF(D237="Выполнено","Выполнено",IF(OR(C237="Срочно",AND(F237&lt;&gt;"",F237&lt;=TODAY())),"Срочные",IF(OR(D237="Отложено",C237="Низкий",AND(F237&lt;&gt;"",F237&gt;TODAY()+Справочники!$H$2)),"Плановые","Текущие"))))</f>
        <v/>
      </c>
      <c r="K237" s="35" t="str">
        <f aca="true">IF(OR(A237="",D237="Выполнено"),"",IF(F237="",IF(AND(G237&lt;&gt;"",G237&lt;&gt;"Разово"),"↻ "&amp;G237,""),IF(F237&lt;TODAY(),"Просрочено на "&amp;(TODAY()-F237)&amp;" дн.",IF(F237=TODAY(),"Сегодня",IF(F237=TODAY()+1,"Завтра","Через "&amp;(F237-TODAY())&amp;" дн.")))))</f>
        <v/>
      </c>
      <c r="L237" s="0" t="str">
        <f aca="true">IF(J237="","",(IF(AND(F237&lt;&gt;"",F237&lt;TODAY()),0,1)*10000000+IFERROR(MATCH(C237,{"Срочно","Высокий","Средний","Низкий"},0),5)*100000+IF(F237="",99999,F237))*1000+ROW())</f>
        <v/>
      </c>
      <c r="M237" s="0" t="str">
        <f aca="false">IF(AND($J237="Срочные",OR(Главная!$F$6="Все",$B237=Главная!$F$6),OR(Главная!$F$7="Все",$C237=Главная!$F$7)),$L237,"")</f>
        <v/>
      </c>
      <c r="N237" s="0" t="str">
        <f aca="false">IF(AND($J237="Текущие",OR(Главная!$F$6="Все",$B237=Главная!$F$6),OR(Главная!$F$7="Все",$C237=Главная!$F$7)),$L237,"")</f>
        <v/>
      </c>
      <c r="O237" s="0" t="str">
        <f aca="false">IF(AND($J237="Плановые",OR(Главная!$F$6="Все",$B237=Главная!$F$6),OR(Главная!$F$7="Все",$C237=Главная!$F$7)),$L237,"")</f>
        <v/>
      </c>
      <c r="P237" s="0" t="str">
        <f aca="false">IF(J237="Выполнено",ROW(),"")</f>
        <v/>
      </c>
    </row>
    <row r="238" customFormat="false" ht="21.75" hidden="false" customHeight="true" outlineLevel="0" collapsed="false">
      <c r="A238" s="31"/>
      <c r="B238" s="31"/>
      <c r="C238" s="32"/>
      <c r="D238" s="32"/>
      <c r="E238" s="33"/>
      <c r="F238" s="33"/>
      <c r="G238" s="32"/>
      <c r="H238" s="32"/>
      <c r="I238" s="31"/>
      <c r="J238" s="34" t="str">
        <f aca="true">IF(TRIM(A238)="","",IF(D238="Выполнено","Выполнено",IF(OR(C238="Срочно",AND(F238&lt;&gt;"",F238&lt;=TODAY())),"Срочные",IF(OR(D238="Отложено",C238="Низкий",AND(F238&lt;&gt;"",F238&gt;TODAY()+Справочники!$H$2)),"Плановые","Текущие"))))</f>
        <v/>
      </c>
      <c r="K238" s="35" t="str">
        <f aca="true">IF(OR(A238="",D238="Выполнено"),"",IF(F238="",IF(AND(G238&lt;&gt;"",G238&lt;&gt;"Разово"),"↻ "&amp;G238,""),IF(F238&lt;TODAY(),"Просрочено на "&amp;(TODAY()-F238)&amp;" дн.",IF(F238=TODAY(),"Сегодня",IF(F238=TODAY()+1,"Завтра","Через "&amp;(F238-TODAY())&amp;" дн.")))))</f>
        <v/>
      </c>
      <c r="L238" s="0" t="str">
        <f aca="true">IF(J238="","",(IF(AND(F238&lt;&gt;"",F238&lt;TODAY()),0,1)*10000000+IFERROR(MATCH(C238,{"Срочно","Высокий","Средний","Низкий"},0),5)*100000+IF(F238="",99999,F238))*1000+ROW())</f>
        <v/>
      </c>
      <c r="M238" s="0" t="str">
        <f aca="false">IF(AND($J238="Срочные",OR(Главная!$F$6="Все",$B238=Главная!$F$6),OR(Главная!$F$7="Все",$C238=Главная!$F$7)),$L238,"")</f>
        <v/>
      </c>
      <c r="N238" s="0" t="str">
        <f aca="false">IF(AND($J238="Текущие",OR(Главная!$F$6="Все",$B238=Главная!$F$6),OR(Главная!$F$7="Все",$C238=Главная!$F$7)),$L238,"")</f>
        <v/>
      </c>
      <c r="O238" s="0" t="str">
        <f aca="false">IF(AND($J238="Плановые",OR(Главная!$F$6="Все",$B238=Главная!$F$6),OR(Главная!$F$7="Все",$C238=Главная!$F$7)),$L238,"")</f>
        <v/>
      </c>
      <c r="P238" s="0" t="str">
        <f aca="false">IF(J238="Выполнено",ROW(),"")</f>
        <v/>
      </c>
    </row>
    <row r="239" customFormat="false" ht="21.75" hidden="false" customHeight="true" outlineLevel="0" collapsed="false">
      <c r="A239" s="31"/>
      <c r="B239" s="31"/>
      <c r="C239" s="32"/>
      <c r="D239" s="32"/>
      <c r="E239" s="33"/>
      <c r="F239" s="33"/>
      <c r="G239" s="32"/>
      <c r="H239" s="32"/>
      <c r="I239" s="31"/>
      <c r="J239" s="34" t="str">
        <f aca="true">IF(TRIM(A239)="","",IF(D239="Выполнено","Выполнено",IF(OR(C239="Срочно",AND(F239&lt;&gt;"",F239&lt;=TODAY())),"Срочные",IF(OR(D239="Отложено",C239="Низкий",AND(F239&lt;&gt;"",F239&gt;TODAY()+Справочники!$H$2)),"Плановые","Текущие"))))</f>
        <v/>
      </c>
      <c r="K239" s="35" t="str">
        <f aca="true">IF(OR(A239="",D239="Выполнено"),"",IF(F239="",IF(AND(G239&lt;&gt;"",G239&lt;&gt;"Разово"),"↻ "&amp;G239,""),IF(F239&lt;TODAY(),"Просрочено на "&amp;(TODAY()-F239)&amp;" дн.",IF(F239=TODAY(),"Сегодня",IF(F239=TODAY()+1,"Завтра","Через "&amp;(F239-TODAY())&amp;" дн.")))))</f>
        <v/>
      </c>
      <c r="L239" s="0" t="str">
        <f aca="true">IF(J239="","",(IF(AND(F239&lt;&gt;"",F239&lt;TODAY()),0,1)*10000000+IFERROR(MATCH(C239,{"Срочно","Высокий","Средний","Низкий"},0),5)*100000+IF(F239="",99999,F239))*1000+ROW())</f>
        <v/>
      </c>
      <c r="M239" s="0" t="str">
        <f aca="false">IF(AND($J239="Срочные",OR(Главная!$F$6="Все",$B239=Главная!$F$6),OR(Главная!$F$7="Все",$C239=Главная!$F$7)),$L239,"")</f>
        <v/>
      </c>
      <c r="N239" s="0" t="str">
        <f aca="false">IF(AND($J239="Текущие",OR(Главная!$F$6="Все",$B239=Главная!$F$6),OR(Главная!$F$7="Все",$C239=Главная!$F$7)),$L239,"")</f>
        <v/>
      </c>
      <c r="O239" s="0" t="str">
        <f aca="false">IF(AND($J239="Плановые",OR(Главная!$F$6="Все",$B239=Главная!$F$6),OR(Главная!$F$7="Все",$C239=Главная!$F$7)),$L239,"")</f>
        <v/>
      </c>
      <c r="P239" s="0" t="str">
        <f aca="false">IF(J239="Выполнено",ROW(),"")</f>
        <v/>
      </c>
    </row>
    <row r="240" customFormat="false" ht="21.75" hidden="false" customHeight="true" outlineLevel="0" collapsed="false">
      <c r="A240" s="31"/>
      <c r="B240" s="31"/>
      <c r="C240" s="32"/>
      <c r="D240" s="32"/>
      <c r="E240" s="33"/>
      <c r="F240" s="33"/>
      <c r="G240" s="32"/>
      <c r="H240" s="32"/>
      <c r="I240" s="31"/>
      <c r="J240" s="34" t="str">
        <f aca="true">IF(TRIM(A240)="","",IF(D240="Выполнено","Выполнено",IF(OR(C240="Срочно",AND(F240&lt;&gt;"",F240&lt;=TODAY())),"Срочные",IF(OR(D240="Отложено",C240="Низкий",AND(F240&lt;&gt;"",F240&gt;TODAY()+Справочники!$H$2)),"Плановые","Текущие"))))</f>
        <v/>
      </c>
      <c r="K240" s="35" t="str">
        <f aca="true">IF(OR(A240="",D240="Выполнено"),"",IF(F240="",IF(AND(G240&lt;&gt;"",G240&lt;&gt;"Разово"),"↻ "&amp;G240,""),IF(F240&lt;TODAY(),"Просрочено на "&amp;(TODAY()-F240)&amp;" дн.",IF(F240=TODAY(),"Сегодня",IF(F240=TODAY()+1,"Завтра","Через "&amp;(F240-TODAY())&amp;" дн.")))))</f>
        <v/>
      </c>
      <c r="L240" s="0" t="str">
        <f aca="true">IF(J240="","",(IF(AND(F240&lt;&gt;"",F240&lt;TODAY()),0,1)*10000000+IFERROR(MATCH(C240,{"Срочно","Высокий","Средний","Низкий"},0),5)*100000+IF(F240="",99999,F240))*1000+ROW())</f>
        <v/>
      </c>
      <c r="M240" s="0" t="str">
        <f aca="false">IF(AND($J240="Срочные",OR(Главная!$F$6="Все",$B240=Главная!$F$6),OR(Главная!$F$7="Все",$C240=Главная!$F$7)),$L240,"")</f>
        <v/>
      </c>
      <c r="N240" s="0" t="str">
        <f aca="false">IF(AND($J240="Текущие",OR(Главная!$F$6="Все",$B240=Главная!$F$6),OR(Главная!$F$7="Все",$C240=Главная!$F$7)),$L240,"")</f>
        <v/>
      </c>
      <c r="O240" s="0" t="str">
        <f aca="false">IF(AND($J240="Плановые",OR(Главная!$F$6="Все",$B240=Главная!$F$6),OR(Главная!$F$7="Все",$C240=Главная!$F$7)),$L240,"")</f>
        <v/>
      </c>
      <c r="P240" s="0" t="str">
        <f aca="false">IF(J240="Выполнено",ROW(),"")</f>
        <v/>
      </c>
    </row>
    <row r="241" customFormat="false" ht="21.75" hidden="false" customHeight="true" outlineLevel="0" collapsed="false">
      <c r="A241" s="31"/>
      <c r="B241" s="31"/>
      <c r="C241" s="32"/>
      <c r="D241" s="32"/>
      <c r="E241" s="33"/>
      <c r="F241" s="33"/>
      <c r="G241" s="32"/>
      <c r="H241" s="32"/>
      <c r="I241" s="31"/>
      <c r="J241" s="34" t="str">
        <f aca="true">IF(TRIM(A241)="","",IF(D241="Выполнено","Выполнено",IF(OR(C241="Срочно",AND(F241&lt;&gt;"",F241&lt;=TODAY())),"Срочные",IF(OR(D241="Отложено",C241="Низкий",AND(F241&lt;&gt;"",F241&gt;TODAY()+Справочники!$H$2)),"Плановые","Текущие"))))</f>
        <v/>
      </c>
      <c r="K241" s="35" t="str">
        <f aca="true">IF(OR(A241="",D241="Выполнено"),"",IF(F241="",IF(AND(G241&lt;&gt;"",G241&lt;&gt;"Разово"),"↻ "&amp;G241,""),IF(F241&lt;TODAY(),"Просрочено на "&amp;(TODAY()-F241)&amp;" дн.",IF(F241=TODAY(),"Сегодня",IF(F241=TODAY()+1,"Завтра","Через "&amp;(F241-TODAY())&amp;" дн.")))))</f>
        <v/>
      </c>
      <c r="L241" s="0" t="str">
        <f aca="true">IF(J241="","",(IF(AND(F241&lt;&gt;"",F241&lt;TODAY()),0,1)*10000000+IFERROR(MATCH(C241,{"Срочно","Высокий","Средний","Низкий"},0),5)*100000+IF(F241="",99999,F241))*1000+ROW())</f>
        <v/>
      </c>
      <c r="M241" s="0" t="str">
        <f aca="false">IF(AND($J241="Срочные",OR(Главная!$F$6="Все",$B241=Главная!$F$6),OR(Главная!$F$7="Все",$C241=Главная!$F$7)),$L241,"")</f>
        <v/>
      </c>
      <c r="N241" s="0" t="str">
        <f aca="false">IF(AND($J241="Текущие",OR(Главная!$F$6="Все",$B241=Главная!$F$6),OR(Главная!$F$7="Все",$C241=Главная!$F$7)),$L241,"")</f>
        <v/>
      </c>
      <c r="O241" s="0" t="str">
        <f aca="false">IF(AND($J241="Плановые",OR(Главная!$F$6="Все",$B241=Главная!$F$6),OR(Главная!$F$7="Все",$C241=Главная!$F$7)),$L241,"")</f>
        <v/>
      </c>
      <c r="P241" s="0" t="str">
        <f aca="false">IF(J241="Выполнено",ROW(),"")</f>
        <v/>
      </c>
    </row>
    <row r="242" customFormat="false" ht="21.75" hidden="false" customHeight="true" outlineLevel="0" collapsed="false">
      <c r="A242" s="31"/>
      <c r="B242" s="31"/>
      <c r="C242" s="32"/>
      <c r="D242" s="32"/>
      <c r="E242" s="33"/>
      <c r="F242" s="33"/>
      <c r="G242" s="32"/>
      <c r="H242" s="32"/>
      <c r="I242" s="31"/>
      <c r="J242" s="34" t="str">
        <f aca="true">IF(TRIM(A242)="","",IF(D242="Выполнено","Выполнено",IF(OR(C242="Срочно",AND(F242&lt;&gt;"",F242&lt;=TODAY())),"Срочные",IF(OR(D242="Отложено",C242="Низкий",AND(F242&lt;&gt;"",F242&gt;TODAY()+Справочники!$H$2)),"Плановые","Текущие"))))</f>
        <v/>
      </c>
      <c r="K242" s="35" t="str">
        <f aca="true">IF(OR(A242="",D242="Выполнено"),"",IF(F242="",IF(AND(G242&lt;&gt;"",G242&lt;&gt;"Разово"),"↻ "&amp;G242,""),IF(F242&lt;TODAY(),"Просрочено на "&amp;(TODAY()-F242)&amp;" дн.",IF(F242=TODAY(),"Сегодня",IF(F242=TODAY()+1,"Завтра","Через "&amp;(F242-TODAY())&amp;" дн.")))))</f>
        <v/>
      </c>
      <c r="L242" s="0" t="str">
        <f aca="true">IF(J242="","",(IF(AND(F242&lt;&gt;"",F242&lt;TODAY()),0,1)*10000000+IFERROR(MATCH(C242,{"Срочно","Высокий","Средний","Низкий"},0),5)*100000+IF(F242="",99999,F242))*1000+ROW())</f>
        <v/>
      </c>
      <c r="M242" s="0" t="str">
        <f aca="false">IF(AND($J242="Срочные",OR(Главная!$F$6="Все",$B242=Главная!$F$6),OR(Главная!$F$7="Все",$C242=Главная!$F$7)),$L242,"")</f>
        <v/>
      </c>
      <c r="N242" s="0" t="str">
        <f aca="false">IF(AND($J242="Текущие",OR(Главная!$F$6="Все",$B242=Главная!$F$6),OR(Главная!$F$7="Все",$C242=Главная!$F$7)),$L242,"")</f>
        <v/>
      </c>
      <c r="O242" s="0" t="str">
        <f aca="false">IF(AND($J242="Плановые",OR(Главная!$F$6="Все",$B242=Главная!$F$6),OR(Главная!$F$7="Все",$C242=Главная!$F$7)),$L242,"")</f>
        <v/>
      </c>
      <c r="P242" s="0" t="str">
        <f aca="false">IF(J242="Выполнено",ROW(),"")</f>
        <v/>
      </c>
    </row>
    <row r="243" customFormat="false" ht="21.75" hidden="false" customHeight="true" outlineLevel="0" collapsed="false">
      <c r="A243" s="31"/>
      <c r="B243" s="31"/>
      <c r="C243" s="32"/>
      <c r="D243" s="32"/>
      <c r="E243" s="33"/>
      <c r="F243" s="33"/>
      <c r="G243" s="32"/>
      <c r="H243" s="32"/>
      <c r="I243" s="31"/>
      <c r="J243" s="34" t="str">
        <f aca="true">IF(TRIM(A243)="","",IF(D243="Выполнено","Выполнено",IF(OR(C243="Срочно",AND(F243&lt;&gt;"",F243&lt;=TODAY())),"Срочные",IF(OR(D243="Отложено",C243="Низкий",AND(F243&lt;&gt;"",F243&gt;TODAY()+Справочники!$H$2)),"Плановые","Текущие"))))</f>
        <v/>
      </c>
      <c r="K243" s="35" t="str">
        <f aca="true">IF(OR(A243="",D243="Выполнено"),"",IF(F243="",IF(AND(G243&lt;&gt;"",G243&lt;&gt;"Разово"),"↻ "&amp;G243,""),IF(F243&lt;TODAY(),"Просрочено на "&amp;(TODAY()-F243)&amp;" дн.",IF(F243=TODAY(),"Сегодня",IF(F243=TODAY()+1,"Завтра","Через "&amp;(F243-TODAY())&amp;" дн.")))))</f>
        <v/>
      </c>
      <c r="L243" s="0" t="str">
        <f aca="true">IF(J243="","",(IF(AND(F243&lt;&gt;"",F243&lt;TODAY()),0,1)*10000000+IFERROR(MATCH(C243,{"Срочно","Высокий","Средний","Низкий"},0),5)*100000+IF(F243="",99999,F243))*1000+ROW())</f>
        <v/>
      </c>
      <c r="M243" s="0" t="str">
        <f aca="false">IF(AND($J243="Срочные",OR(Главная!$F$6="Все",$B243=Главная!$F$6),OR(Главная!$F$7="Все",$C243=Главная!$F$7)),$L243,"")</f>
        <v/>
      </c>
      <c r="N243" s="0" t="str">
        <f aca="false">IF(AND($J243="Текущие",OR(Главная!$F$6="Все",$B243=Главная!$F$6),OR(Главная!$F$7="Все",$C243=Главная!$F$7)),$L243,"")</f>
        <v/>
      </c>
      <c r="O243" s="0" t="str">
        <f aca="false">IF(AND($J243="Плановые",OR(Главная!$F$6="Все",$B243=Главная!$F$6),OR(Главная!$F$7="Все",$C243=Главная!$F$7)),$L243,"")</f>
        <v/>
      </c>
      <c r="P243" s="0" t="str">
        <f aca="false">IF(J243="Выполнено",ROW(),"")</f>
        <v/>
      </c>
    </row>
    <row r="244" customFormat="false" ht="21.75" hidden="false" customHeight="true" outlineLevel="0" collapsed="false">
      <c r="A244" s="31"/>
      <c r="B244" s="31"/>
      <c r="C244" s="32"/>
      <c r="D244" s="32"/>
      <c r="E244" s="33"/>
      <c r="F244" s="33"/>
      <c r="G244" s="32"/>
      <c r="H244" s="32"/>
      <c r="I244" s="31"/>
      <c r="J244" s="34" t="str">
        <f aca="true">IF(TRIM(A244)="","",IF(D244="Выполнено","Выполнено",IF(OR(C244="Срочно",AND(F244&lt;&gt;"",F244&lt;=TODAY())),"Срочные",IF(OR(D244="Отложено",C244="Низкий",AND(F244&lt;&gt;"",F244&gt;TODAY()+Справочники!$H$2)),"Плановые","Текущие"))))</f>
        <v/>
      </c>
      <c r="K244" s="35" t="str">
        <f aca="true">IF(OR(A244="",D244="Выполнено"),"",IF(F244="",IF(AND(G244&lt;&gt;"",G244&lt;&gt;"Разово"),"↻ "&amp;G244,""),IF(F244&lt;TODAY(),"Просрочено на "&amp;(TODAY()-F244)&amp;" дн.",IF(F244=TODAY(),"Сегодня",IF(F244=TODAY()+1,"Завтра","Через "&amp;(F244-TODAY())&amp;" дн.")))))</f>
        <v/>
      </c>
      <c r="L244" s="0" t="str">
        <f aca="true">IF(J244="","",(IF(AND(F244&lt;&gt;"",F244&lt;TODAY()),0,1)*10000000+IFERROR(MATCH(C244,{"Срочно","Высокий","Средний","Низкий"},0),5)*100000+IF(F244="",99999,F244))*1000+ROW())</f>
        <v/>
      </c>
      <c r="M244" s="0" t="str">
        <f aca="false">IF(AND($J244="Срочные",OR(Главная!$F$6="Все",$B244=Главная!$F$6),OR(Главная!$F$7="Все",$C244=Главная!$F$7)),$L244,"")</f>
        <v/>
      </c>
      <c r="N244" s="0" t="str">
        <f aca="false">IF(AND($J244="Текущие",OR(Главная!$F$6="Все",$B244=Главная!$F$6),OR(Главная!$F$7="Все",$C244=Главная!$F$7)),$L244,"")</f>
        <v/>
      </c>
      <c r="O244" s="0" t="str">
        <f aca="false">IF(AND($J244="Плановые",OR(Главная!$F$6="Все",$B244=Главная!$F$6),OR(Главная!$F$7="Все",$C244=Главная!$F$7)),$L244,"")</f>
        <v/>
      </c>
      <c r="P244" s="0" t="str">
        <f aca="false">IF(J244="Выполнено",ROW(),"")</f>
        <v/>
      </c>
    </row>
    <row r="245" customFormat="false" ht="21.75" hidden="false" customHeight="true" outlineLevel="0" collapsed="false">
      <c r="A245" s="31"/>
      <c r="B245" s="31"/>
      <c r="C245" s="32"/>
      <c r="D245" s="32"/>
      <c r="E245" s="33"/>
      <c r="F245" s="33"/>
      <c r="G245" s="32"/>
      <c r="H245" s="32"/>
      <c r="I245" s="31"/>
      <c r="J245" s="34" t="str">
        <f aca="true">IF(TRIM(A245)="","",IF(D245="Выполнено","Выполнено",IF(OR(C245="Срочно",AND(F245&lt;&gt;"",F245&lt;=TODAY())),"Срочные",IF(OR(D245="Отложено",C245="Низкий",AND(F245&lt;&gt;"",F245&gt;TODAY()+Справочники!$H$2)),"Плановые","Текущие"))))</f>
        <v/>
      </c>
      <c r="K245" s="35" t="str">
        <f aca="true">IF(OR(A245="",D245="Выполнено"),"",IF(F245="",IF(AND(G245&lt;&gt;"",G245&lt;&gt;"Разово"),"↻ "&amp;G245,""),IF(F245&lt;TODAY(),"Просрочено на "&amp;(TODAY()-F245)&amp;" дн.",IF(F245=TODAY(),"Сегодня",IF(F245=TODAY()+1,"Завтра","Через "&amp;(F245-TODAY())&amp;" дн.")))))</f>
        <v/>
      </c>
      <c r="L245" s="0" t="str">
        <f aca="true">IF(J245="","",(IF(AND(F245&lt;&gt;"",F245&lt;TODAY()),0,1)*10000000+IFERROR(MATCH(C245,{"Срочно","Высокий","Средний","Низкий"},0),5)*100000+IF(F245="",99999,F245))*1000+ROW())</f>
        <v/>
      </c>
      <c r="M245" s="0" t="str">
        <f aca="false">IF(AND($J245="Срочные",OR(Главная!$F$6="Все",$B245=Главная!$F$6),OR(Главная!$F$7="Все",$C245=Главная!$F$7)),$L245,"")</f>
        <v/>
      </c>
      <c r="N245" s="0" t="str">
        <f aca="false">IF(AND($J245="Текущие",OR(Главная!$F$6="Все",$B245=Главная!$F$6),OR(Главная!$F$7="Все",$C245=Главная!$F$7)),$L245,"")</f>
        <v/>
      </c>
      <c r="O245" s="0" t="str">
        <f aca="false">IF(AND($J245="Плановые",OR(Главная!$F$6="Все",$B245=Главная!$F$6),OR(Главная!$F$7="Все",$C245=Главная!$F$7)),$L245,"")</f>
        <v/>
      </c>
      <c r="P245" s="0" t="str">
        <f aca="false">IF(J245="Выполнено",ROW(),"")</f>
        <v/>
      </c>
    </row>
    <row r="246" customFormat="false" ht="21.75" hidden="false" customHeight="true" outlineLevel="0" collapsed="false">
      <c r="A246" s="31"/>
      <c r="B246" s="31"/>
      <c r="C246" s="32"/>
      <c r="D246" s="32"/>
      <c r="E246" s="33"/>
      <c r="F246" s="33"/>
      <c r="G246" s="32"/>
      <c r="H246" s="32"/>
      <c r="I246" s="31"/>
      <c r="J246" s="34" t="str">
        <f aca="true">IF(TRIM(A246)="","",IF(D246="Выполнено","Выполнено",IF(OR(C246="Срочно",AND(F246&lt;&gt;"",F246&lt;=TODAY())),"Срочные",IF(OR(D246="Отложено",C246="Низкий",AND(F246&lt;&gt;"",F246&gt;TODAY()+Справочники!$H$2)),"Плановые","Текущие"))))</f>
        <v/>
      </c>
      <c r="K246" s="35" t="str">
        <f aca="true">IF(OR(A246="",D246="Выполнено"),"",IF(F246="",IF(AND(G246&lt;&gt;"",G246&lt;&gt;"Разово"),"↻ "&amp;G246,""),IF(F246&lt;TODAY(),"Просрочено на "&amp;(TODAY()-F246)&amp;" дн.",IF(F246=TODAY(),"Сегодня",IF(F246=TODAY()+1,"Завтра","Через "&amp;(F246-TODAY())&amp;" дн.")))))</f>
        <v/>
      </c>
      <c r="L246" s="0" t="str">
        <f aca="true">IF(J246="","",(IF(AND(F246&lt;&gt;"",F246&lt;TODAY()),0,1)*10000000+IFERROR(MATCH(C246,{"Срочно","Высокий","Средний","Низкий"},0),5)*100000+IF(F246="",99999,F246))*1000+ROW())</f>
        <v/>
      </c>
      <c r="M246" s="0" t="str">
        <f aca="false">IF(AND($J246="Срочные",OR(Главная!$F$6="Все",$B246=Главная!$F$6),OR(Главная!$F$7="Все",$C246=Главная!$F$7)),$L246,"")</f>
        <v/>
      </c>
      <c r="N246" s="0" t="str">
        <f aca="false">IF(AND($J246="Текущие",OR(Главная!$F$6="Все",$B246=Главная!$F$6),OR(Главная!$F$7="Все",$C246=Главная!$F$7)),$L246,"")</f>
        <v/>
      </c>
      <c r="O246" s="0" t="str">
        <f aca="false">IF(AND($J246="Плановые",OR(Главная!$F$6="Все",$B246=Главная!$F$6),OR(Главная!$F$7="Все",$C246=Главная!$F$7)),$L246,"")</f>
        <v/>
      </c>
      <c r="P246" s="0" t="str">
        <f aca="false">IF(J246="Выполнено",ROW(),"")</f>
        <v/>
      </c>
    </row>
    <row r="247" customFormat="false" ht="21.75" hidden="false" customHeight="true" outlineLevel="0" collapsed="false">
      <c r="A247" s="31"/>
      <c r="B247" s="31"/>
      <c r="C247" s="32"/>
      <c r="D247" s="32"/>
      <c r="E247" s="33"/>
      <c r="F247" s="33"/>
      <c r="G247" s="32"/>
      <c r="H247" s="32"/>
      <c r="I247" s="31"/>
      <c r="J247" s="34" t="str">
        <f aca="true">IF(TRIM(A247)="","",IF(D247="Выполнено","Выполнено",IF(OR(C247="Срочно",AND(F247&lt;&gt;"",F247&lt;=TODAY())),"Срочные",IF(OR(D247="Отложено",C247="Низкий",AND(F247&lt;&gt;"",F247&gt;TODAY()+Справочники!$H$2)),"Плановые","Текущие"))))</f>
        <v/>
      </c>
      <c r="K247" s="35" t="str">
        <f aca="true">IF(OR(A247="",D247="Выполнено"),"",IF(F247="",IF(AND(G247&lt;&gt;"",G247&lt;&gt;"Разово"),"↻ "&amp;G247,""),IF(F247&lt;TODAY(),"Просрочено на "&amp;(TODAY()-F247)&amp;" дн.",IF(F247=TODAY(),"Сегодня",IF(F247=TODAY()+1,"Завтра","Через "&amp;(F247-TODAY())&amp;" дн.")))))</f>
        <v/>
      </c>
      <c r="L247" s="0" t="str">
        <f aca="true">IF(J247="","",(IF(AND(F247&lt;&gt;"",F247&lt;TODAY()),0,1)*10000000+IFERROR(MATCH(C247,{"Срочно","Высокий","Средний","Низкий"},0),5)*100000+IF(F247="",99999,F247))*1000+ROW())</f>
        <v/>
      </c>
      <c r="M247" s="0" t="str">
        <f aca="false">IF(AND($J247="Срочные",OR(Главная!$F$6="Все",$B247=Главная!$F$6),OR(Главная!$F$7="Все",$C247=Главная!$F$7)),$L247,"")</f>
        <v/>
      </c>
      <c r="N247" s="0" t="str">
        <f aca="false">IF(AND($J247="Текущие",OR(Главная!$F$6="Все",$B247=Главная!$F$6),OR(Главная!$F$7="Все",$C247=Главная!$F$7)),$L247,"")</f>
        <v/>
      </c>
      <c r="O247" s="0" t="str">
        <f aca="false">IF(AND($J247="Плановые",OR(Главная!$F$6="Все",$B247=Главная!$F$6),OR(Главная!$F$7="Все",$C247=Главная!$F$7)),$L247,"")</f>
        <v/>
      </c>
      <c r="P247" s="0" t="str">
        <f aca="false">IF(J247="Выполнено",ROW(),"")</f>
        <v/>
      </c>
    </row>
    <row r="248" customFormat="false" ht="21.75" hidden="false" customHeight="true" outlineLevel="0" collapsed="false">
      <c r="A248" s="31"/>
      <c r="B248" s="31"/>
      <c r="C248" s="32"/>
      <c r="D248" s="32"/>
      <c r="E248" s="33"/>
      <c r="F248" s="33"/>
      <c r="G248" s="32"/>
      <c r="H248" s="32"/>
      <c r="I248" s="31"/>
      <c r="J248" s="34" t="str">
        <f aca="true">IF(TRIM(A248)="","",IF(D248="Выполнено","Выполнено",IF(OR(C248="Срочно",AND(F248&lt;&gt;"",F248&lt;=TODAY())),"Срочные",IF(OR(D248="Отложено",C248="Низкий",AND(F248&lt;&gt;"",F248&gt;TODAY()+Справочники!$H$2)),"Плановые","Текущие"))))</f>
        <v/>
      </c>
      <c r="K248" s="35" t="str">
        <f aca="true">IF(OR(A248="",D248="Выполнено"),"",IF(F248="",IF(AND(G248&lt;&gt;"",G248&lt;&gt;"Разово"),"↻ "&amp;G248,""),IF(F248&lt;TODAY(),"Просрочено на "&amp;(TODAY()-F248)&amp;" дн.",IF(F248=TODAY(),"Сегодня",IF(F248=TODAY()+1,"Завтра","Через "&amp;(F248-TODAY())&amp;" дн.")))))</f>
        <v/>
      </c>
      <c r="L248" s="0" t="str">
        <f aca="true">IF(J248="","",(IF(AND(F248&lt;&gt;"",F248&lt;TODAY()),0,1)*10000000+IFERROR(MATCH(C248,{"Срочно","Высокий","Средний","Низкий"},0),5)*100000+IF(F248="",99999,F248))*1000+ROW())</f>
        <v/>
      </c>
      <c r="M248" s="0" t="str">
        <f aca="false">IF(AND($J248="Срочные",OR(Главная!$F$6="Все",$B248=Главная!$F$6),OR(Главная!$F$7="Все",$C248=Главная!$F$7)),$L248,"")</f>
        <v/>
      </c>
      <c r="N248" s="0" t="str">
        <f aca="false">IF(AND($J248="Текущие",OR(Главная!$F$6="Все",$B248=Главная!$F$6),OR(Главная!$F$7="Все",$C248=Главная!$F$7)),$L248,"")</f>
        <v/>
      </c>
      <c r="O248" s="0" t="str">
        <f aca="false">IF(AND($J248="Плановые",OR(Главная!$F$6="Все",$B248=Главная!$F$6),OR(Главная!$F$7="Все",$C248=Главная!$F$7)),$L248,"")</f>
        <v/>
      </c>
      <c r="P248" s="0" t="str">
        <f aca="false">IF(J248="Выполнено",ROW(),"")</f>
        <v/>
      </c>
    </row>
    <row r="249" customFormat="false" ht="21.75" hidden="false" customHeight="true" outlineLevel="0" collapsed="false">
      <c r="A249" s="31"/>
      <c r="B249" s="31"/>
      <c r="C249" s="32"/>
      <c r="D249" s="32"/>
      <c r="E249" s="33"/>
      <c r="F249" s="33"/>
      <c r="G249" s="32"/>
      <c r="H249" s="32"/>
      <c r="I249" s="31"/>
      <c r="J249" s="34" t="str">
        <f aca="true">IF(TRIM(A249)="","",IF(D249="Выполнено","Выполнено",IF(OR(C249="Срочно",AND(F249&lt;&gt;"",F249&lt;=TODAY())),"Срочные",IF(OR(D249="Отложено",C249="Низкий",AND(F249&lt;&gt;"",F249&gt;TODAY()+Справочники!$H$2)),"Плановые","Текущие"))))</f>
        <v/>
      </c>
      <c r="K249" s="35" t="str">
        <f aca="true">IF(OR(A249="",D249="Выполнено"),"",IF(F249="",IF(AND(G249&lt;&gt;"",G249&lt;&gt;"Разово"),"↻ "&amp;G249,""),IF(F249&lt;TODAY(),"Просрочено на "&amp;(TODAY()-F249)&amp;" дн.",IF(F249=TODAY(),"Сегодня",IF(F249=TODAY()+1,"Завтра","Через "&amp;(F249-TODAY())&amp;" дн.")))))</f>
        <v/>
      </c>
      <c r="L249" s="0" t="str">
        <f aca="true">IF(J249="","",(IF(AND(F249&lt;&gt;"",F249&lt;TODAY()),0,1)*10000000+IFERROR(MATCH(C249,{"Срочно","Высокий","Средний","Низкий"},0),5)*100000+IF(F249="",99999,F249))*1000+ROW())</f>
        <v/>
      </c>
      <c r="M249" s="0" t="str">
        <f aca="false">IF(AND($J249="Срочные",OR(Главная!$F$6="Все",$B249=Главная!$F$6),OR(Главная!$F$7="Все",$C249=Главная!$F$7)),$L249,"")</f>
        <v/>
      </c>
      <c r="N249" s="0" t="str">
        <f aca="false">IF(AND($J249="Текущие",OR(Главная!$F$6="Все",$B249=Главная!$F$6),OR(Главная!$F$7="Все",$C249=Главная!$F$7)),$L249,"")</f>
        <v/>
      </c>
      <c r="O249" s="0" t="str">
        <f aca="false">IF(AND($J249="Плановые",OR(Главная!$F$6="Все",$B249=Главная!$F$6),OR(Главная!$F$7="Все",$C249=Главная!$F$7)),$L249,"")</f>
        <v/>
      </c>
      <c r="P249" s="0" t="str">
        <f aca="false">IF(J249="Выполнено",ROW(),"")</f>
        <v/>
      </c>
    </row>
    <row r="250" customFormat="false" ht="21.75" hidden="false" customHeight="true" outlineLevel="0" collapsed="false">
      <c r="A250" s="31"/>
      <c r="B250" s="31"/>
      <c r="C250" s="32"/>
      <c r="D250" s="32"/>
      <c r="E250" s="33"/>
      <c r="F250" s="33"/>
      <c r="G250" s="32"/>
      <c r="H250" s="32"/>
      <c r="I250" s="31"/>
      <c r="J250" s="34" t="str">
        <f aca="true">IF(TRIM(A250)="","",IF(D250="Выполнено","Выполнено",IF(OR(C250="Срочно",AND(F250&lt;&gt;"",F250&lt;=TODAY())),"Срочные",IF(OR(D250="Отложено",C250="Низкий",AND(F250&lt;&gt;"",F250&gt;TODAY()+Справочники!$H$2)),"Плановые","Текущие"))))</f>
        <v/>
      </c>
      <c r="K250" s="35" t="str">
        <f aca="true">IF(OR(A250="",D250="Выполнено"),"",IF(F250="",IF(AND(G250&lt;&gt;"",G250&lt;&gt;"Разово"),"↻ "&amp;G250,""),IF(F250&lt;TODAY(),"Просрочено на "&amp;(TODAY()-F250)&amp;" дн.",IF(F250=TODAY(),"Сегодня",IF(F250=TODAY()+1,"Завтра","Через "&amp;(F250-TODAY())&amp;" дн.")))))</f>
        <v/>
      </c>
      <c r="L250" s="0" t="str">
        <f aca="true">IF(J250="","",(IF(AND(F250&lt;&gt;"",F250&lt;TODAY()),0,1)*10000000+IFERROR(MATCH(C250,{"Срочно","Высокий","Средний","Низкий"},0),5)*100000+IF(F250="",99999,F250))*1000+ROW())</f>
        <v/>
      </c>
      <c r="M250" s="0" t="str">
        <f aca="false">IF(AND($J250="Срочные",OR(Главная!$F$6="Все",$B250=Главная!$F$6),OR(Главная!$F$7="Все",$C250=Главная!$F$7)),$L250,"")</f>
        <v/>
      </c>
      <c r="N250" s="0" t="str">
        <f aca="false">IF(AND($J250="Текущие",OR(Главная!$F$6="Все",$B250=Главная!$F$6),OR(Главная!$F$7="Все",$C250=Главная!$F$7)),$L250,"")</f>
        <v/>
      </c>
      <c r="O250" s="0" t="str">
        <f aca="false">IF(AND($J250="Плановые",OR(Главная!$F$6="Все",$B250=Главная!$F$6),OR(Главная!$F$7="Все",$C250=Главная!$F$7)),$L250,"")</f>
        <v/>
      </c>
      <c r="P250" s="0" t="str">
        <f aca="false">IF(J250="Выполнено",ROW(),"")</f>
        <v/>
      </c>
    </row>
    <row r="251" customFormat="false" ht="21.75" hidden="false" customHeight="true" outlineLevel="0" collapsed="false">
      <c r="A251" s="31"/>
      <c r="B251" s="31"/>
      <c r="C251" s="32"/>
      <c r="D251" s="32"/>
      <c r="E251" s="33"/>
      <c r="F251" s="33"/>
      <c r="G251" s="32"/>
      <c r="H251" s="32"/>
      <c r="I251" s="31"/>
      <c r="J251" s="34" t="str">
        <f aca="true">IF(TRIM(A251)="","",IF(D251="Выполнено","Выполнено",IF(OR(C251="Срочно",AND(F251&lt;&gt;"",F251&lt;=TODAY())),"Срочные",IF(OR(D251="Отложено",C251="Низкий",AND(F251&lt;&gt;"",F251&gt;TODAY()+Справочники!$H$2)),"Плановые","Текущие"))))</f>
        <v/>
      </c>
      <c r="K251" s="35" t="str">
        <f aca="true">IF(OR(A251="",D251="Выполнено"),"",IF(F251="",IF(AND(G251&lt;&gt;"",G251&lt;&gt;"Разово"),"↻ "&amp;G251,""),IF(F251&lt;TODAY(),"Просрочено на "&amp;(TODAY()-F251)&amp;" дн.",IF(F251=TODAY(),"Сегодня",IF(F251=TODAY()+1,"Завтра","Через "&amp;(F251-TODAY())&amp;" дн.")))))</f>
        <v/>
      </c>
      <c r="L251" s="0" t="str">
        <f aca="true">IF(J251="","",(IF(AND(F251&lt;&gt;"",F251&lt;TODAY()),0,1)*10000000+IFERROR(MATCH(C251,{"Срочно","Высокий","Средний","Низкий"},0),5)*100000+IF(F251="",99999,F251))*1000+ROW())</f>
        <v/>
      </c>
      <c r="M251" s="0" t="str">
        <f aca="false">IF(AND($J251="Срочные",OR(Главная!$F$6="Все",$B251=Главная!$F$6),OR(Главная!$F$7="Все",$C251=Главная!$F$7)),$L251,"")</f>
        <v/>
      </c>
      <c r="N251" s="0" t="str">
        <f aca="false">IF(AND($J251="Текущие",OR(Главная!$F$6="Все",$B251=Главная!$F$6),OR(Главная!$F$7="Все",$C251=Главная!$F$7)),$L251,"")</f>
        <v/>
      </c>
      <c r="O251" s="0" t="str">
        <f aca="false">IF(AND($J251="Плановые",OR(Главная!$F$6="Все",$B251=Главная!$F$6),OR(Главная!$F$7="Все",$C251=Главная!$F$7)),$L251,"")</f>
        <v/>
      </c>
      <c r="P251" s="0" t="str">
        <f aca="false">IF(J251="Выполнено",ROW(),"")</f>
        <v/>
      </c>
    </row>
    <row r="252" customFormat="false" ht="21.75" hidden="false" customHeight="true" outlineLevel="0" collapsed="false">
      <c r="A252" s="31"/>
      <c r="B252" s="31"/>
      <c r="C252" s="32"/>
      <c r="D252" s="32"/>
      <c r="E252" s="33"/>
      <c r="F252" s="33"/>
      <c r="G252" s="32"/>
      <c r="H252" s="32"/>
      <c r="I252" s="31"/>
      <c r="J252" s="34" t="str">
        <f aca="true">IF(TRIM(A252)="","",IF(D252="Выполнено","Выполнено",IF(OR(C252="Срочно",AND(F252&lt;&gt;"",F252&lt;=TODAY())),"Срочные",IF(OR(D252="Отложено",C252="Низкий",AND(F252&lt;&gt;"",F252&gt;TODAY()+Справочники!$H$2)),"Плановые","Текущие"))))</f>
        <v/>
      </c>
      <c r="K252" s="35" t="str">
        <f aca="true">IF(OR(A252="",D252="Выполнено"),"",IF(F252="",IF(AND(G252&lt;&gt;"",G252&lt;&gt;"Разово"),"↻ "&amp;G252,""),IF(F252&lt;TODAY(),"Просрочено на "&amp;(TODAY()-F252)&amp;" дн.",IF(F252=TODAY(),"Сегодня",IF(F252=TODAY()+1,"Завтра","Через "&amp;(F252-TODAY())&amp;" дн.")))))</f>
        <v/>
      </c>
      <c r="L252" s="0" t="str">
        <f aca="true">IF(J252="","",(IF(AND(F252&lt;&gt;"",F252&lt;TODAY()),0,1)*10000000+IFERROR(MATCH(C252,{"Срочно","Высокий","Средний","Низкий"},0),5)*100000+IF(F252="",99999,F252))*1000+ROW())</f>
        <v/>
      </c>
      <c r="M252" s="0" t="str">
        <f aca="false">IF(AND($J252="Срочные",OR(Главная!$F$6="Все",$B252=Главная!$F$6),OR(Главная!$F$7="Все",$C252=Главная!$F$7)),$L252,"")</f>
        <v/>
      </c>
      <c r="N252" s="0" t="str">
        <f aca="false">IF(AND($J252="Текущие",OR(Главная!$F$6="Все",$B252=Главная!$F$6),OR(Главная!$F$7="Все",$C252=Главная!$F$7)),$L252,"")</f>
        <v/>
      </c>
      <c r="O252" s="0" t="str">
        <f aca="false">IF(AND($J252="Плановые",OR(Главная!$F$6="Все",$B252=Главная!$F$6),OR(Главная!$F$7="Все",$C252=Главная!$F$7)),$L252,"")</f>
        <v/>
      </c>
      <c r="P252" s="0" t="str">
        <f aca="false">IF(J252="Выполнено",ROW(),"")</f>
        <v/>
      </c>
    </row>
    <row r="253" customFormat="false" ht="21.75" hidden="false" customHeight="true" outlineLevel="0" collapsed="false">
      <c r="A253" s="31"/>
      <c r="B253" s="31"/>
      <c r="C253" s="32"/>
      <c r="D253" s="32"/>
      <c r="E253" s="33"/>
      <c r="F253" s="33"/>
      <c r="G253" s="32"/>
      <c r="H253" s="32"/>
      <c r="I253" s="31"/>
      <c r="J253" s="34" t="str">
        <f aca="true">IF(TRIM(A253)="","",IF(D253="Выполнено","Выполнено",IF(OR(C253="Срочно",AND(F253&lt;&gt;"",F253&lt;=TODAY())),"Срочные",IF(OR(D253="Отложено",C253="Низкий",AND(F253&lt;&gt;"",F253&gt;TODAY()+Справочники!$H$2)),"Плановые","Текущие"))))</f>
        <v/>
      </c>
      <c r="K253" s="35" t="str">
        <f aca="true">IF(OR(A253="",D253="Выполнено"),"",IF(F253="",IF(AND(G253&lt;&gt;"",G253&lt;&gt;"Разово"),"↻ "&amp;G253,""),IF(F253&lt;TODAY(),"Просрочено на "&amp;(TODAY()-F253)&amp;" дн.",IF(F253=TODAY(),"Сегодня",IF(F253=TODAY()+1,"Завтра","Через "&amp;(F253-TODAY())&amp;" дн.")))))</f>
        <v/>
      </c>
      <c r="L253" s="0" t="str">
        <f aca="true">IF(J253="","",(IF(AND(F253&lt;&gt;"",F253&lt;TODAY()),0,1)*10000000+IFERROR(MATCH(C253,{"Срочно","Высокий","Средний","Низкий"},0),5)*100000+IF(F253="",99999,F253))*1000+ROW())</f>
        <v/>
      </c>
      <c r="M253" s="0" t="str">
        <f aca="false">IF(AND($J253="Срочные",OR(Главная!$F$6="Все",$B253=Главная!$F$6),OR(Главная!$F$7="Все",$C253=Главная!$F$7)),$L253,"")</f>
        <v/>
      </c>
      <c r="N253" s="0" t="str">
        <f aca="false">IF(AND($J253="Текущие",OR(Главная!$F$6="Все",$B253=Главная!$F$6),OR(Главная!$F$7="Все",$C253=Главная!$F$7)),$L253,"")</f>
        <v/>
      </c>
      <c r="O253" s="0" t="str">
        <f aca="false">IF(AND($J253="Плановые",OR(Главная!$F$6="Все",$B253=Главная!$F$6),OR(Главная!$F$7="Все",$C253=Главная!$F$7)),$L253,"")</f>
        <v/>
      </c>
      <c r="P253" s="0" t="str">
        <f aca="false">IF(J253="Выполнено",ROW(),"")</f>
        <v/>
      </c>
    </row>
    <row r="254" customFormat="false" ht="21.75" hidden="false" customHeight="true" outlineLevel="0" collapsed="false">
      <c r="A254" s="31"/>
      <c r="B254" s="31"/>
      <c r="C254" s="32"/>
      <c r="D254" s="32"/>
      <c r="E254" s="33"/>
      <c r="F254" s="33"/>
      <c r="G254" s="32"/>
      <c r="H254" s="32"/>
      <c r="I254" s="31"/>
      <c r="J254" s="34" t="str">
        <f aca="true">IF(TRIM(A254)="","",IF(D254="Выполнено","Выполнено",IF(OR(C254="Срочно",AND(F254&lt;&gt;"",F254&lt;=TODAY())),"Срочные",IF(OR(D254="Отложено",C254="Низкий",AND(F254&lt;&gt;"",F254&gt;TODAY()+Справочники!$H$2)),"Плановые","Текущие"))))</f>
        <v/>
      </c>
      <c r="K254" s="35" t="str">
        <f aca="true">IF(OR(A254="",D254="Выполнено"),"",IF(F254="",IF(AND(G254&lt;&gt;"",G254&lt;&gt;"Разово"),"↻ "&amp;G254,""),IF(F254&lt;TODAY(),"Просрочено на "&amp;(TODAY()-F254)&amp;" дн.",IF(F254=TODAY(),"Сегодня",IF(F254=TODAY()+1,"Завтра","Через "&amp;(F254-TODAY())&amp;" дн.")))))</f>
        <v/>
      </c>
      <c r="L254" s="0" t="str">
        <f aca="true">IF(J254="","",(IF(AND(F254&lt;&gt;"",F254&lt;TODAY()),0,1)*10000000+IFERROR(MATCH(C254,{"Срочно","Высокий","Средний","Низкий"},0),5)*100000+IF(F254="",99999,F254))*1000+ROW())</f>
        <v/>
      </c>
      <c r="M254" s="0" t="str">
        <f aca="false">IF(AND($J254="Срочные",OR(Главная!$F$6="Все",$B254=Главная!$F$6),OR(Главная!$F$7="Все",$C254=Главная!$F$7)),$L254,"")</f>
        <v/>
      </c>
      <c r="N254" s="0" t="str">
        <f aca="false">IF(AND($J254="Текущие",OR(Главная!$F$6="Все",$B254=Главная!$F$6),OR(Главная!$F$7="Все",$C254=Главная!$F$7)),$L254,"")</f>
        <v/>
      </c>
      <c r="O254" s="0" t="str">
        <f aca="false">IF(AND($J254="Плановые",OR(Главная!$F$6="Все",$B254=Главная!$F$6),OR(Главная!$F$7="Все",$C254=Главная!$F$7)),$L254,"")</f>
        <v/>
      </c>
      <c r="P254" s="0" t="str">
        <f aca="false">IF(J254="Выполнено",ROW(),"")</f>
        <v/>
      </c>
    </row>
    <row r="255" customFormat="false" ht="21.75" hidden="false" customHeight="true" outlineLevel="0" collapsed="false">
      <c r="A255" s="31"/>
      <c r="B255" s="31"/>
      <c r="C255" s="32"/>
      <c r="D255" s="32"/>
      <c r="E255" s="33"/>
      <c r="F255" s="33"/>
      <c r="G255" s="32"/>
      <c r="H255" s="32"/>
      <c r="I255" s="31"/>
      <c r="J255" s="34" t="str">
        <f aca="true">IF(TRIM(A255)="","",IF(D255="Выполнено","Выполнено",IF(OR(C255="Срочно",AND(F255&lt;&gt;"",F255&lt;=TODAY())),"Срочные",IF(OR(D255="Отложено",C255="Низкий",AND(F255&lt;&gt;"",F255&gt;TODAY()+Справочники!$H$2)),"Плановые","Текущие"))))</f>
        <v/>
      </c>
      <c r="K255" s="35" t="str">
        <f aca="true">IF(OR(A255="",D255="Выполнено"),"",IF(F255="",IF(AND(G255&lt;&gt;"",G255&lt;&gt;"Разово"),"↻ "&amp;G255,""),IF(F255&lt;TODAY(),"Просрочено на "&amp;(TODAY()-F255)&amp;" дн.",IF(F255=TODAY(),"Сегодня",IF(F255=TODAY()+1,"Завтра","Через "&amp;(F255-TODAY())&amp;" дн.")))))</f>
        <v/>
      </c>
      <c r="L255" s="0" t="str">
        <f aca="true">IF(J255="","",(IF(AND(F255&lt;&gt;"",F255&lt;TODAY()),0,1)*10000000+IFERROR(MATCH(C255,{"Срочно","Высокий","Средний","Низкий"},0),5)*100000+IF(F255="",99999,F255))*1000+ROW())</f>
        <v/>
      </c>
      <c r="M255" s="0" t="str">
        <f aca="false">IF(AND($J255="Срочные",OR(Главная!$F$6="Все",$B255=Главная!$F$6),OR(Главная!$F$7="Все",$C255=Главная!$F$7)),$L255,"")</f>
        <v/>
      </c>
      <c r="N255" s="0" t="str">
        <f aca="false">IF(AND($J255="Текущие",OR(Главная!$F$6="Все",$B255=Главная!$F$6),OR(Главная!$F$7="Все",$C255=Главная!$F$7)),$L255,"")</f>
        <v/>
      </c>
      <c r="O255" s="0" t="str">
        <f aca="false">IF(AND($J255="Плановые",OR(Главная!$F$6="Все",$B255=Главная!$F$6),OR(Главная!$F$7="Все",$C255=Главная!$F$7)),$L255,"")</f>
        <v/>
      </c>
      <c r="P255" s="0" t="str">
        <f aca="false">IF(J255="Выполнено",ROW(),"")</f>
        <v/>
      </c>
    </row>
    <row r="256" customFormat="false" ht="21.75" hidden="false" customHeight="true" outlineLevel="0" collapsed="false">
      <c r="A256" s="31"/>
      <c r="B256" s="31"/>
      <c r="C256" s="32"/>
      <c r="D256" s="32"/>
      <c r="E256" s="33"/>
      <c r="F256" s="33"/>
      <c r="G256" s="32"/>
      <c r="H256" s="32"/>
      <c r="I256" s="31"/>
      <c r="J256" s="34" t="str">
        <f aca="true">IF(TRIM(A256)="","",IF(D256="Выполнено","Выполнено",IF(OR(C256="Срочно",AND(F256&lt;&gt;"",F256&lt;=TODAY())),"Срочные",IF(OR(D256="Отложено",C256="Низкий",AND(F256&lt;&gt;"",F256&gt;TODAY()+Справочники!$H$2)),"Плановые","Текущие"))))</f>
        <v/>
      </c>
      <c r="K256" s="35" t="str">
        <f aca="true">IF(OR(A256="",D256="Выполнено"),"",IF(F256="",IF(AND(G256&lt;&gt;"",G256&lt;&gt;"Разово"),"↻ "&amp;G256,""),IF(F256&lt;TODAY(),"Просрочено на "&amp;(TODAY()-F256)&amp;" дн.",IF(F256=TODAY(),"Сегодня",IF(F256=TODAY()+1,"Завтра","Через "&amp;(F256-TODAY())&amp;" дн.")))))</f>
        <v/>
      </c>
      <c r="L256" s="0" t="str">
        <f aca="true">IF(J256="","",(IF(AND(F256&lt;&gt;"",F256&lt;TODAY()),0,1)*10000000+IFERROR(MATCH(C256,{"Срочно","Высокий","Средний","Низкий"},0),5)*100000+IF(F256="",99999,F256))*1000+ROW())</f>
        <v/>
      </c>
      <c r="M256" s="0" t="str">
        <f aca="false">IF(AND($J256="Срочные",OR(Главная!$F$6="Все",$B256=Главная!$F$6),OR(Главная!$F$7="Все",$C256=Главная!$F$7)),$L256,"")</f>
        <v/>
      </c>
      <c r="N256" s="0" t="str">
        <f aca="false">IF(AND($J256="Текущие",OR(Главная!$F$6="Все",$B256=Главная!$F$6),OR(Главная!$F$7="Все",$C256=Главная!$F$7)),$L256,"")</f>
        <v/>
      </c>
      <c r="O256" s="0" t="str">
        <f aca="false">IF(AND($J256="Плановые",OR(Главная!$F$6="Все",$B256=Главная!$F$6),OR(Главная!$F$7="Все",$C256=Главная!$F$7)),$L256,"")</f>
        <v/>
      </c>
      <c r="P256" s="0" t="str">
        <f aca="false">IF(J256="Выполнено",ROW(),"")</f>
        <v/>
      </c>
    </row>
    <row r="257" customFormat="false" ht="21.75" hidden="false" customHeight="true" outlineLevel="0" collapsed="false">
      <c r="A257" s="31"/>
      <c r="B257" s="31"/>
      <c r="C257" s="32"/>
      <c r="D257" s="32"/>
      <c r="E257" s="33"/>
      <c r="F257" s="33"/>
      <c r="G257" s="32"/>
      <c r="H257" s="32"/>
      <c r="I257" s="31"/>
      <c r="J257" s="34" t="str">
        <f aca="true">IF(TRIM(A257)="","",IF(D257="Выполнено","Выполнено",IF(OR(C257="Срочно",AND(F257&lt;&gt;"",F257&lt;=TODAY())),"Срочные",IF(OR(D257="Отложено",C257="Низкий",AND(F257&lt;&gt;"",F257&gt;TODAY()+Справочники!$H$2)),"Плановые","Текущие"))))</f>
        <v/>
      </c>
      <c r="K257" s="35" t="str">
        <f aca="true">IF(OR(A257="",D257="Выполнено"),"",IF(F257="",IF(AND(G257&lt;&gt;"",G257&lt;&gt;"Разово"),"↻ "&amp;G257,""),IF(F257&lt;TODAY(),"Просрочено на "&amp;(TODAY()-F257)&amp;" дн.",IF(F257=TODAY(),"Сегодня",IF(F257=TODAY()+1,"Завтра","Через "&amp;(F257-TODAY())&amp;" дн.")))))</f>
        <v/>
      </c>
      <c r="L257" s="0" t="str">
        <f aca="true">IF(J257="","",(IF(AND(F257&lt;&gt;"",F257&lt;TODAY()),0,1)*10000000+IFERROR(MATCH(C257,{"Срочно","Высокий","Средний","Низкий"},0),5)*100000+IF(F257="",99999,F257))*1000+ROW())</f>
        <v/>
      </c>
      <c r="M257" s="0" t="str">
        <f aca="false">IF(AND($J257="Срочные",OR(Главная!$F$6="Все",$B257=Главная!$F$6),OR(Главная!$F$7="Все",$C257=Главная!$F$7)),$L257,"")</f>
        <v/>
      </c>
      <c r="N257" s="0" t="str">
        <f aca="false">IF(AND($J257="Текущие",OR(Главная!$F$6="Все",$B257=Главная!$F$6),OR(Главная!$F$7="Все",$C257=Главная!$F$7)),$L257,"")</f>
        <v/>
      </c>
      <c r="O257" s="0" t="str">
        <f aca="false">IF(AND($J257="Плановые",OR(Главная!$F$6="Все",$B257=Главная!$F$6),OR(Главная!$F$7="Все",$C257=Главная!$F$7)),$L257,"")</f>
        <v/>
      </c>
      <c r="P257" s="0" t="str">
        <f aca="false">IF(J257="Выполнено",ROW(),"")</f>
        <v/>
      </c>
    </row>
    <row r="258" customFormat="false" ht="21.75" hidden="false" customHeight="true" outlineLevel="0" collapsed="false">
      <c r="A258" s="31"/>
      <c r="B258" s="31"/>
      <c r="C258" s="32"/>
      <c r="D258" s="32"/>
      <c r="E258" s="33"/>
      <c r="F258" s="33"/>
      <c r="G258" s="32"/>
      <c r="H258" s="32"/>
      <c r="I258" s="31"/>
      <c r="J258" s="34" t="str">
        <f aca="true">IF(TRIM(A258)="","",IF(D258="Выполнено","Выполнено",IF(OR(C258="Срочно",AND(F258&lt;&gt;"",F258&lt;=TODAY())),"Срочные",IF(OR(D258="Отложено",C258="Низкий",AND(F258&lt;&gt;"",F258&gt;TODAY()+Справочники!$H$2)),"Плановые","Текущие"))))</f>
        <v/>
      </c>
      <c r="K258" s="35" t="str">
        <f aca="true">IF(OR(A258="",D258="Выполнено"),"",IF(F258="",IF(AND(G258&lt;&gt;"",G258&lt;&gt;"Разово"),"↻ "&amp;G258,""),IF(F258&lt;TODAY(),"Просрочено на "&amp;(TODAY()-F258)&amp;" дн.",IF(F258=TODAY(),"Сегодня",IF(F258=TODAY()+1,"Завтра","Через "&amp;(F258-TODAY())&amp;" дн.")))))</f>
        <v/>
      </c>
      <c r="L258" s="0" t="str">
        <f aca="true">IF(J258="","",(IF(AND(F258&lt;&gt;"",F258&lt;TODAY()),0,1)*10000000+IFERROR(MATCH(C258,{"Срочно","Высокий","Средний","Низкий"},0),5)*100000+IF(F258="",99999,F258))*1000+ROW())</f>
        <v/>
      </c>
      <c r="M258" s="0" t="str">
        <f aca="false">IF(AND($J258="Срочные",OR(Главная!$F$6="Все",$B258=Главная!$F$6),OR(Главная!$F$7="Все",$C258=Главная!$F$7)),$L258,"")</f>
        <v/>
      </c>
      <c r="N258" s="0" t="str">
        <f aca="false">IF(AND($J258="Текущие",OR(Главная!$F$6="Все",$B258=Главная!$F$6),OR(Главная!$F$7="Все",$C258=Главная!$F$7)),$L258,"")</f>
        <v/>
      </c>
      <c r="O258" s="0" t="str">
        <f aca="false">IF(AND($J258="Плановые",OR(Главная!$F$6="Все",$B258=Главная!$F$6),OR(Главная!$F$7="Все",$C258=Главная!$F$7)),$L258,"")</f>
        <v/>
      </c>
      <c r="P258" s="0" t="str">
        <f aca="false">IF(J258="Выполнено",ROW(),"")</f>
        <v/>
      </c>
    </row>
    <row r="259" customFormat="false" ht="21.75" hidden="false" customHeight="true" outlineLevel="0" collapsed="false">
      <c r="A259" s="31"/>
      <c r="B259" s="31"/>
      <c r="C259" s="32"/>
      <c r="D259" s="32"/>
      <c r="E259" s="33"/>
      <c r="F259" s="33"/>
      <c r="G259" s="32"/>
      <c r="H259" s="32"/>
      <c r="I259" s="31"/>
      <c r="J259" s="34" t="str">
        <f aca="true">IF(TRIM(A259)="","",IF(D259="Выполнено","Выполнено",IF(OR(C259="Срочно",AND(F259&lt;&gt;"",F259&lt;=TODAY())),"Срочные",IF(OR(D259="Отложено",C259="Низкий",AND(F259&lt;&gt;"",F259&gt;TODAY()+Справочники!$H$2)),"Плановые","Текущие"))))</f>
        <v/>
      </c>
      <c r="K259" s="35" t="str">
        <f aca="true">IF(OR(A259="",D259="Выполнено"),"",IF(F259="",IF(AND(G259&lt;&gt;"",G259&lt;&gt;"Разово"),"↻ "&amp;G259,""),IF(F259&lt;TODAY(),"Просрочено на "&amp;(TODAY()-F259)&amp;" дн.",IF(F259=TODAY(),"Сегодня",IF(F259=TODAY()+1,"Завтра","Через "&amp;(F259-TODAY())&amp;" дн.")))))</f>
        <v/>
      </c>
      <c r="L259" s="0" t="str">
        <f aca="true">IF(J259="","",(IF(AND(F259&lt;&gt;"",F259&lt;TODAY()),0,1)*10000000+IFERROR(MATCH(C259,{"Срочно","Высокий","Средний","Низкий"},0),5)*100000+IF(F259="",99999,F259))*1000+ROW())</f>
        <v/>
      </c>
      <c r="M259" s="0" t="str">
        <f aca="false">IF(AND($J259="Срочные",OR(Главная!$F$6="Все",$B259=Главная!$F$6),OR(Главная!$F$7="Все",$C259=Главная!$F$7)),$L259,"")</f>
        <v/>
      </c>
      <c r="N259" s="0" t="str">
        <f aca="false">IF(AND($J259="Текущие",OR(Главная!$F$6="Все",$B259=Главная!$F$6),OR(Главная!$F$7="Все",$C259=Главная!$F$7)),$L259,"")</f>
        <v/>
      </c>
      <c r="O259" s="0" t="str">
        <f aca="false">IF(AND($J259="Плановые",OR(Главная!$F$6="Все",$B259=Главная!$F$6),OR(Главная!$F$7="Все",$C259=Главная!$F$7)),$L259,"")</f>
        <v/>
      </c>
      <c r="P259" s="0" t="str">
        <f aca="false">IF(J259="Выполнено",ROW(),"")</f>
        <v/>
      </c>
    </row>
    <row r="260" customFormat="false" ht="21.75" hidden="false" customHeight="true" outlineLevel="0" collapsed="false">
      <c r="A260" s="31"/>
      <c r="B260" s="31"/>
      <c r="C260" s="32"/>
      <c r="D260" s="32"/>
      <c r="E260" s="33"/>
      <c r="F260" s="33"/>
      <c r="G260" s="32"/>
      <c r="H260" s="32"/>
      <c r="I260" s="31"/>
      <c r="J260" s="34" t="str">
        <f aca="true">IF(TRIM(A260)="","",IF(D260="Выполнено","Выполнено",IF(OR(C260="Срочно",AND(F260&lt;&gt;"",F260&lt;=TODAY())),"Срочные",IF(OR(D260="Отложено",C260="Низкий",AND(F260&lt;&gt;"",F260&gt;TODAY()+Справочники!$H$2)),"Плановые","Текущие"))))</f>
        <v/>
      </c>
      <c r="K260" s="35" t="str">
        <f aca="true">IF(OR(A260="",D260="Выполнено"),"",IF(F260="",IF(AND(G260&lt;&gt;"",G260&lt;&gt;"Разово"),"↻ "&amp;G260,""),IF(F260&lt;TODAY(),"Просрочено на "&amp;(TODAY()-F260)&amp;" дн.",IF(F260=TODAY(),"Сегодня",IF(F260=TODAY()+1,"Завтра","Через "&amp;(F260-TODAY())&amp;" дн.")))))</f>
        <v/>
      </c>
      <c r="L260" s="0" t="str">
        <f aca="true">IF(J260="","",(IF(AND(F260&lt;&gt;"",F260&lt;TODAY()),0,1)*10000000+IFERROR(MATCH(C260,{"Срочно","Высокий","Средний","Низкий"},0),5)*100000+IF(F260="",99999,F260))*1000+ROW())</f>
        <v/>
      </c>
      <c r="M260" s="0" t="str">
        <f aca="false">IF(AND($J260="Срочные",OR(Главная!$F$6="Все",$B260=Главная!$F$6),OR(Главная!$F$7="Все",$C260=Главная!$F$7)),$L260,"")</f>
        <v/>
      </c>
      <c r="N260" s="0" t="str">
        <f aca="false">IF(AND($J260="Текущие",OR(Главная!$F$6="Все",$B260=Главная!$F$6),OR(Главная!$F$7="Все",$C260=Главная!$F$7)),$L260,"")</f>
        <v/>
      </c>
      <c r="O260" s="0" t="str">
        <f aca="false">IF(AND($J260="Плановые",OR(Главная!$F$6="Все",$B260=Главная!$F$6),OR(Главная!$F$7="Все",$C260=Главная!$F$7)),$L260,"")</f>
        <v/>
      </c>
      <c r="P260" s="0" t="str">
        <f aca="false">IF(J260="Выполнено",ROW(),"")</f>
        <v/>
      </c>
    </row>
    <row r="261" customFormat="false" ht="21.75" hidden="false" customHeight="true" outlineLevel="0" collapsed="false">
      <c r="A261" s="31"/>
      <c r="B261" s="31"/>
      <c r="C261" s="32"/>
      <c r="D261" s="32"/>
      <c r="E261" s="33"/>
      <c r="F261" s="33"/>
      <c r="G261" s="32"/>
      <c r="H261" s="32"/>
      <c r="I261" s="31"/>
      <c r="J261" s="34" t="str">
        <f aca="true">IF(TRIM(A261)="","",IF(D261="Выполнено","Выполнено",IF(OR(C261="Срочно",AND(F261&lt;&gt;"",F261&lt;=TODAY())),"Срочные",IF(OR(D261="Отложено",C261="Низкий",AND(F261&lt;&gt;"",F261&gt;TODAY()+Справочники!$H$2)),"Плановые","Текущие"))))</f>
        <v/>
      </c>
      <c r="K261" s="35" t="str">
        <f aca="true">IF(OR(A261="",D261="Выполнено"),"",IF(F261="",IF(AND(G261&lt;&gt;"",G261&lt;&gt;"Разово"),"↻ "&amp;G261,""),IF(F261&lt;TODAY(),"Просрочено на "&amp;(TODAY()-F261)&amp;" дн.",IF(F261=TODAY(),"Сегодня",IF(F261=TODAY()+1,"Завтра","Через "&amp;(F261-TODAY())&amp;" дн.")))))</f>
        <v/>
      </c>
      <c r="L261" s="0" t="str">
        <f aca="true">IF(J261="","",(IF(AND(F261&lt;&gt;"",F261&lt;TODAY()),0,1)*10000000+IFERROR(MATCH(C261,{"Срочно","Высокий","Средний","Низкий"},0),5)*100000+IF(F261="",99999,F261))*1000+ROW())</f>
        <v/>
      </c>
      <c r="M261" s="0" t="str">
        <f aca="false">IF(AND($J261="Срочные",OR(Главная!$F$6="Все",$B261=Главная!$F$6),OR(Главная!$F$7="Все",$C261=Главная!$F$7)),$L261,"")</f>
        <v/>
      </c>
      <c r="N261" s="0" t="str">
        <f aca="false">IF(AND($J261="Текущие",OR(Главная!$F$6="Все",$B261=Главная!$F$6),OR(Главная!$F$7="Все",$C261=Главная!$F$7)),$L261,"")</f>
        <v/>
      </c>
      <c r="O261" s="0" t="str">
        <f aca="false">IF(AND($J261="Плановые",OR(Главная!$F$6="Все",$B261=Главная!$F$6),OR(Главная!$F$7="Все",$C261=Главная!$F$7)),$L261,"")</f>
        <v/>
      </c>
      <c r="P261" s="0" t="str">
        <f aca="false">IF(J261="Выполнено",ROW(),"")</f>
        <v/>
      </c>
    </row>
    <row r="262" customFormat="false" ht="21.75" hidden="false" customHeight="true" outlineLevel="0" collapsed="false">
      <c r="A262" s="31"/>
      <c r="B262" s="31"/>
      <c r="C262" s="32"/>
      <c r="D262" s="32"/>
      <c r="E262" s="33"/>
      <c r="F262" s="33"/>
      <c r="G262" s="32"/>
      <c r="H262" s="32"/>
      <c r="I262" s="31"/>
      <c r="J262" s="34" t="str">
        <f aca="true">IF(TRIM(A262)="","",IF(D262="Выполнено","Выполнено",IF(OR(C262="Срочно",AND(F262&lt;&gt;"",F262&lt;=TODAY())),"Срочные",IF(OR(D262="Отложено",C262="Низкий",AND(F262&lt;&gt;"",F262&gt;TODAY()+Справочники!$H$2)),"Плановые","Текущие"))))</f>
        <v/>
      </c>
      <c r="K262" s="35" t="str">
        <f aca="true">IF(OR(A262="",D262="Выполнено"),"",IF(F262="",IF(AND(G262&lt;&gt;"",G262&lt;&gt;"Разово"),"↻ "&amp;G262,""),IF(F262&lt;TODAY(),"Просрочено на "&amp;(TODAY()-F262)&amp;" дн.",IF(F262=TODAY(),"Сегодня",IF(F262=TODAY()+1,"Завтра","Через "&amp;(F262-TODAY())&amp;" дн.")))))</f>
        <v/>
      </c>
      <c r="L262" s="0" t="str">
        <f aca="true">IF(J262="","",(IF(AND(F262&lt;&gt;"",F262&lt;TODAY()),0,1)*10000000+IFERROR(MATCH(C262,{"Срочно","Высокий","Средний","Низкий"},0),5)*100000+IF(F262="",99999,F262))*1000+ROW())</f>
        <v/>
      </c>
      <c r="M262" s="0" t="str">
        <f aca="false">IF(AND($J262="Срочные",OR(Главная!$F$6="Все",$B262=Главная!$F$6),OR(Главная!$F$7="Все",$C262=Главная!$F$7)),$L262,"")</f>
        <v/>
      </c>
      <c r="N262" s="0" t="str">
        <f aca="false">IF(AND($J262="Текущие",OR(Главная!$F$6="Все",$B262=Главная!$F$6),OR(Главная!$F$7="Все",$C262=Главная!$F$7)),$L262,"")</f>
        <v/>
      </c>
      <c r="O262" s="0" t="str">
        <f aca="false">IF(AND($J262="Плановые",OR(Главная!$F$6="Все",$B262=Главная!$F$6),OR(Главная!$F$7="Все",$C262=Главная!$F$7)),$L262,"")</f>
        <v/>
      </c>
      <c r="P262" s="0" t="str">
        <f aca="false">IF(J262="Выполнено",ROW(),"")</f>
        <v/>
      </c>
    </row>
    <row r="263" customFormat="false" ht="21.75" hidden="false" customHeight="true" outlineLevel="0" collapsed="false">
      <c r="A263" s="31"/>
      <c r="B263" s="31"/>
      <c r="C263" s="32"/>
      <c r="D263" s="32"/>
      <c r="E263" s="33"/>
      <c r="F263" s="33"/>
      <c r="G263" s="32"/>
      <c r="H263" s="32"/>
      <c r="I263" s="31"/>
      <c r="J263" s="34" t="str">
        <f aca="true">IF(TRIM(A263)="","",IF(D263="Выполнено","Выполнено",IF(OR(C263="Срочно",AND(F263&lt;&gt;"",F263&lt;=TODAY())),"Срочные",IF(OR(D263="Отложено",C263="Низкий",AND(F263&lt;&gt;"",F263&gt;TODAY()+Справочники!$H$2)),"Плановые","Текущие"))))</f>
        <v/>
      </c>
      <c r="K263" s="35" t="str">
        <f aca="true">IF(OR(A263="",D263="Выполнено"),"",IF(F263="",IF(AND(G263&lt;&gt;"",G263&lt;&gt;"Разово"),"↻ "&amp;G263,""),IF(F263&lt;TODAY(),"Просрочено на "&amp;(TODAY()-F263)&amp;" дн.",IF(F263=TODAY(),"Сегодня",IF(F263=TODAY()+1,"Завтра","Через "&amp;(F263-TODAY())&amp;" дн.")))))</f>
        <v/>
      </c>
      <c r="L263" s="0" t="str">
        <f aca="true">IF(J263="","",(IF(AND(F263&lt;&gt;"",F263&lt;TODAY()),0,1)*10000000+IFERROR(MATCH(C263,{"Срочно","Высокий","Средний","Низкий"},0),5)*100000+IF(F263="",99999,F263))*1000+ROW())</f>
        <v/>
      </c>
      <c r="M263" s="0" t="str">
        <f aca="false">IF(AND($J263="Срочные",OR(Главная!$F$6="Все",$B263=Главная!$F$6),OR(Главная!$F$7="Все",$C263=Главная!$F$7)),$L263,"")</f>
        <v/>
      </c>
      <c r="N263" s="0" t="str">
        <f aca="false">IF(AND($J263="Текущие",OR(Главная!$F$6="Все",$B263=Главная!$F$6),OR(Главная!$F$7="Все",$C263=Главная!$F$7)),$L263,"")</f>
        <v/>
      </c>
      <c r="O263" s="0" t="str">
        <f aca="false">IF(AND($J263="Плановые",OR(Главная!$F$6="Все",$B263=Главная!$F$6),OR(Главная!$F$7="Все",$C263=Главная!$F$7)),$L263,"")</f>
        <v/>
      </c>
      <c r="P263" s="0" t="str">
        <f aca="false">IF(J263="Выполнено",ROW(),"")</f>
        <v/>
      </c>
    </row>
    <row r="264" customFormat="false" ht="21.75" hidden="false" customHeight="true" outlineLevel="0" collapsed="false">
      <c r="A264" s="31"/>
      <c r="B264" s="31"/>
      <c r="C264" s="32"/>
      <c r="D264" s="32"/>
      <c r="E264" s="33"/>
      <c r="F264" s="33"/>
      <c r="G264" s="32"/>
      <c r="H264" s="32"/>
      <c r="I264" s="31"/>
      <c r="J264" s="34" t="str">
        <f aca="true">IF(TRIM(A264)="","",IF(D264="Выполнено","Выполнено",IF(OR(C264="Срочно",AND(F264&lt;&gt;"",F264&lt;=TODAY())),"Срочные",IF(OR(D264="Отложено",C264="Низкий",AND(F264&lt;&gt;"",F264&gt;TODAY()+Справочники!$H$2)),"Плановые","Текущие"))))</f>
        <v/>
      </c>
      <c r="K264" s="35" t="str">
        <f aca="true">IF(OR(A264="",D264="Выполнено"),"",IF(F264="",IF(AND(G264&lt;&gt;"",G264&lt;&gt;"Разово"),"↻ "&amp;G264,""),IF(F264&lt;TODAY(),"Просрочено на "&amp;(TODAY()-F264)&amp;" дн.",IF(F264=TODAY(),"Сегодня",IF(F264=TODAY()+1,"Завтра","Через "&amp;(F264-TODAY())&amp;" дн.")))))</f>
        <v/>
      </c>
      <c r="L264" s="0" t="str">
        <f aca="true">IF(J264="","",(IF(AND(F264&lt;&gt;"",F264&lt;TODAY()),0,1)*10000000+IFERROR(MATCH(C264,{"Срочно","Высокий","Средний","Низкий"},0),5)*100000+IF(F264="",99999,F264))*1000+ROW())</f>
        <v/>
      </c>
      <c r="M264" s="0" t="str">
        <f aca="false">IF(AND($J264="Срочные",OR(Главная!$F$6="Все",$B264=Главная!$F$6),OR(Главная!$F$7="Все",$C264=Главная!$F$7)),$L264,"")</f>
        <v/>
      </c>
      <c r="N264" s="0" t="str">
        <f aca="false">IF(AND($J264="Текущие",OR(Главная!$F$6="Все",$B264=Главная!$F$6),OR(Главная!$F$7="Все",$C264=Главная!$F$7)),$L264,"")</f>
        <v/>
      </c>
      <c r="O264" s="0" t="str">
        <f aca="false">IF(AND($J264="Плановые",OR(Главная!$F$6="Все",$B264=Главная!$F$6),OR(Главная!$F$7="Все",$C264=Главная!$F$7)),$L264,"")</f>
        <v/>
      </c>
      <c r="P264" s="0" t="str">
        <f aca="false">IF(J264="Выполнено",ROW(),"")</f>
        <v/>
      </c>
    </row>
    <row r="265" customFormat="false" ht="21.75" hidden="false" customHeight="true" outlineLevel="0" collapsed="false">
      <c r="A265" s="31"/>
      <c r="B265" s="31"/>
      <c r="C265" s="32"/>
      <c r="D265" s="32"/>
      <c r="E265" s="33"/>
      <c r="F265" s="33"/>
      <c r="G265" s="32"/>
      <c r="H265" s="32"/>
      <c r="I265" s="31"/>
      <c r="J265" s="34" t="str">
        <f aca="true">IF(TRIM(A265)="","",IF(D265="Выполнено","Выполнено",IF(OR(C265="Срочно",AND(F265&lt;&gt;"",F265&lt;=TODAY())),"Срочные",IF(OR(D265="Отложено",C265="Низкий",AND(F265&lt;&gt;"",F265&gt;TODAY()+Справочники!$H$2)),"Плановые","Текущие"))))</f>
        <v/>
      </c>
      <c r="K265" s="35" t="str">
        <f aca="true">IF(OR(A265="",D265="Выполнено"),"",IF(F265="",IF(AND(G265&lt;&gt;"",G265&lt;&gt;"Разово"),"↻ "&amp;G265,""),IF(F265&lt;TODAY(),"Просрочено на "&amp;(TODAY()-F265)&amp;" дн.",IF(F265=TODAY(),"Сегодня",IF(F265=TODAY()+1,"Завтра","Через "&amp;(F265-TODAY())&amp;" дн.")))))</f>
        <v/>
      </c>
      <c r="L265" s="0" t="str">
        <f aca="true">IF(J265="","",(IF(AND(F265&lt;&gt;"",F265&lt;TODAY()),0,1)*10000000+IFERROR(MATCH(C265,{"Срочно","Высокий","Средний","Низкий"},0),5)*100000+IF(F265="",99999,F265))*1000+ROW())</f>
        <v/>
      </c>
      <c r="M265" s="0" t="str">
        <f aca="false">IF(AND($J265="Срочные",OR(Главная!$F$6="Все",$B265=Главная!$F$6),OR(Главная!$F$7="Все",$C265=Главная!$F$7)),$L265,"")</f>
        <v/>
      </c>
      <c r="N265" s="0" t="str">
        <f aca="false">IF(AND($J265="Текущие",OR(Главная!$F$6="Все",$B265=Главная!$F$6),OR(Главная!$F$7="Все",$C265=Главная!$F$7)),$L265,"")</f>
        <v/>
      </c>
      <c r="O265" s="0" t="str">
        <f aca="false">IF(AND($J265="Плановые",OR(Главная!$F$6="Все",$B265=Главная!$F$6),OR(Главная!$F$7="Все",$C265=Главная!$F$7)),$L265,"")</f>
        <v/>
      </c>
      <c r="P265" s="0" t="str">
        <f aca="false">IF(J265="Выполнено",ROW(),"")</f>
        <v/>
      </c>
    </row>
    <row r="266" customFormat="false" ht="21.75" hidden="false" customHeight="true" outlineLevel="0" collapsed="false">
      <c r="A266" s="31"/>
      <c r="B266" s="31"/>
      <c r="C266" s="32"/>
      <c r="D266" s="32"/>
      <c r="E266" s="33"/>
      <c r="F266" s="33"/>
      <c r="G266" s="32"/>
      <c r="H266" s="32"/>
      <c r="I266" s="31"/>
      <c r="J266" s="34" t="str">
        <f aca="true">IF(TRIM(A266)="","",IF(D266="Выполнено","Выполнено",IF(OR(C266="Срочно",AND(F266&lt;&gt;"",F266&lt;=TODAY())),"Срочные",IF(OR(D266="Отложено",C266="Низкий",AND(F266&lt;&gt;"",F266&gt;TODAY()+Справочники!$H$2)),"Плановые","Текущие"))))</f>
        <v/>
      </c>
      <c r="K266" s="35" t="str">
        <f aca="true">IF(OR(A266="",D266="Выполнено"),"",IF(F266="",IF(AND(G266&lt;&gt;"",G266&lt;&gt;"Разово"),"↻ "&amp;G266,""),IF(F266&lt;TODAY(),"Просрочено на "&amp;(TODAY()-F266)&amp;" дн.",IF(F266=TODAY(),"Сегодня",IF(F266=TODAY()+1,"Завтра","Через "&amp;(F266-TODAY())&amp;" дн.")))))</f>
        <v/>
      </c>
      <c r="L266" s="0" t="str">
        <f aca="true">IF(J266="","",(IF(AND(F266&lt;&gt;"",F266&lt;TODAY()),0,1)*10000000+IFERROR(MATCH(C266,{"Срочно","Высокий","Средний","Низкий"},0),5)*100000+IF(F266="",99999,F266))*1000+ROW())</f>
        <v/>
      </c>
      <c r="M266" s="0" t="str">
        <f aca="false">IF(AND($J266="Срочные",OR(Главная!$F$6="Все",$B266=Главная!$F$6),OR(Главная!$F$7="Все",$C266=Главная!$F$7)),$L266,"")</f>
        <v/>
      </c>
      <c r="N266" s="0" t="str">
        <f aca="false">IF(AND($J266="Текущие",OR(Главная!$F$6="Все",$B266=Главная!$F$6),OR(Главная!$F$7="Все",$C266=Главная!$F$7)),$L266,"")</f>
        <v/>
      </c>
      <c r="O266" s="0" t="str">
        <f aca="false">IF(AND($J266="Плановые",OR(Главная!$F$6="Все",$B266=Главная!$F$6),OR(Главная!$F$7="Все",$C266=Главная!$F$7)),$L266,"")</f>
        <v/>
      </c>
      <c r="P266" s="0" t="str">
        <f aca="false">IF(J266="Выполнено",ROW(),"")</f>
        <v/>
      </c>
    </row>
    <row r="267" customFormat="false" ht="21.75" hidden="false" customHeight="true" outlineLevel="0" collapsed="false">
      <c r="A267" s="31"/>
      <c r="B267" s="31"/>
      <c r="C267" s="32"/>
      <c r="D267" s="32"/>
      <c r="E267" s="33"/>
      <c r="F267" s="33"/>
      <c r="G267" s="32"/>
      <c r="H267" s="32"/>
      <c r="I267" s="31"/>
      <c r="J267" s="34" t="str">
        <f aca="true">IF(TRIM(A267)="","",IF(D267="Выполнено","Выполнено",IF(OR(C267="Срочно",AND(F267&lt;&gt;"",F267&lt;=TODAY())),"Срочные",IF(OR(D267="Отложено",C267="Низкий",AND(F267&lt;&gt;"",F267&gt;TODAY()+Справочники!$H$2)),"Плановые","Текущие"))))</f>
        <v/>
      </c>
      <c r="K267" s="35" t="str">
        <f aca="true">IF(OR(A267="",D267="Выполнено"),"",IF(F267="",IF(AND(G267&lt;&gt;"",G267&lt;&gt;"Разово"),"↻ "&amp;G267,""),IF(F267&lt;TODAY(),"Просрочено на "&amp;(TODAY()-F267)&amp;" дн.",IF(F267=TODAY(),"Сегодня",IF(F267=TODAY()+1,"Завтра","Через "&amp;(F267-TODAY())&amp;" дн.")))))</f>
        <v/>
      </c>
      <c r="L267" s="0" t="str">
        <f aca="true">IF(J267="","",(IF(AND(F267&lt;&gt;"",F267&lt;TODAY()),0,1)*10000000+IFERROR(MATCH(C267,{"Срочно","Высокий","Средний","Низкий"},0),5)*100000+IF(F267="",99999,F267))*1000+ROW())</f>
        <v/>
      </c>
      <c r="M267" s="0" t="str">
        <f aca="false">IF(AND($J267="Срочные",OR(Главная!$F$6="Все",$B267=Главная!$F$6),OR(Главная!$F$7="Все",$C267=Главная!$F$7)),$L267,"")</f>
        <v/>
      </c>
      <c r="N267" s="0" t="str">
        <f aca="false">IF(AND($J267="Текущие",OR(Главная!$F$6="Все",$B267=Главная!$F$6),OR(Главная!$F$7="Все",$C267=Главная!$F$7)),$L267,"")</f>
        <v/>
      </c>
      <c r="O267" s="0" t="str">
        <f aca="false">IF(AND($J267="Плановые",OR(Главная!$F$6="Все",$B267=Главная!$F$6),OR(Главная!$F$7="Все",$C267=Главная!$F$7)),$L267,"")</f>
        <v/>
      </c>
      <c r="P267" s="0" t="str">
        <f aca="false">IF(J267="Выполнено",ROW(),"")</f>
        <v/>
      </c>
    </row>
    <row r="268" customFormat="false" ht="21.75" hidden="false" customHeight="true" outlineLevel="0" collapsed="false">
      <c r="A268" s="31"/>
      <c r="B268" s="31"/>
      <c r="C268" s="32"/>
      <c r="D268" s="32"/>
      <c r="E268" s="33"/>
      <c r="F268" s="33"/>
      <c r="G268" s="32"/>
      <c r="H268" s="32"/>
      <c r="I268" s="31"/>
      <c r="J268" s="34" t="str">
        <f aca="true">IF(TRIM(A268)="","",IF(D268="Выполнено","Выполнено",IF(OR(C268="Срочно",AND(F268&lt;&gt;"",F268&lt;=TODAY())),"Срочные",IF(OR(D268="Отложено",C268="Низкий",AND(F268&lt;&gt;"",F268&gt;TODAY()+Справочники!$H$2)),"Плановые","Текущие"))))</f>
        <v/>
      </c>
      <c r="K268" s="35" t="str">
        <f aca="true">IF(OR(A268="",D268="Выполнено"),"",IF(F268="",IF(AND(G268&lt;&gt;"",G268&lt;&gt;"Разово"),"↻ "&amp;G268,""),IF(F268&lt;TODAY(),"Просрочено на "&amp;(TODAY()-F268)&amp;" дн.",IF(F268=TODAY(),"Сегодня",IF(F268=TODAY()+1,"Завтра","Через "&amp;(F268-TODAY())&amp;" дн.")))))</f>
        <v/>
      </c>
      <c r="L268" s="0" t="str">
        <f aca="true">IF(J268="","",(IF(AND(F268&lt;&gt;"",F268&lt;TODAY()),0,1)*10000000+IFERROR(MATCH(C268,{"Срочно","Высокий","Средний","Низкий"},0),5)*100000+IF(F268="",99999,F268))*1000+ROW())</f>
        <v/>
      </c>
      <c r="M268" s="0" t="str">
        <f aca="false">IF(AND($J268="Срочные",OR(Главная!$F$6="Все",$B268=Главная!$F$6),OR(Главная!$F$7="Все",$C268=Главная!$F$7)),$L268,"")</f>
        <v/>
      </c>
      <c r="N268" s="0" t="str">
        <f aca="false">IF(AND($J268="Текущие",OR(Главная!$F$6="Все",$B268=Главная!$F$6),OR(Главная!$F$7="Все",$C268=Главная!$F$7)),$L268,"")</f>
        <v/>
      </c>
      <c r="O268" s="0" t="str">
        <f aca="false">IF(AND($J268="Плановые",OR(Главная!$F$6="Все",$B268=Главная!$F$6),OR(Главная!$F$7="Все",$C268=Главная!$F$7)),$L268,"")</f>
        <v/>
      </c>
      <c r="P268" s="0" t="str">
        <f aca="false">IF(J268="Выполнено",ROW(),"")</f>
        <v/>
      </c>
    </row>
    <row r="269" customFormat="false" ht="21.75" hidden="false" customHeight="true" outlineLevel="0" collapsed="false">
      <c r="A269" s="31"/>
      <c r="B269" s="31"/>
      <c r="C269" s="32"/>
      <c r="D269" s="32"/>
      <c r="E269" s="33"/>
      <c r="F269" s="33"/>
      <c r="G269" s="32"/>
      <c r="H269" s="32"/>
      <c r="I269" s="31"/>
      <c r="J269" s="34" t="str">
        <f aca="true">IF(TRIM(A269)="","",IF(D269="Выполнено","Выполнено",IF(OR(C269="Срочно",AND(F269&lt;&gt;"",F269&lt;=TODAY())),"Срочные",IF(OR(D269="Отложено",C269="Низкий",AND(F269&lt;&gt;"",F269&gt;TODAY()+Справочники!$H$2)),"Плановые","Текущие"))))</f>
        <v/>
      </c>
      <c r="K269" s="35" t="str">
        <f aca="true">IF(OR(A269="",D269="Выполнено"),"",IF(F269="",IF(AND(G269&lt;&gt;"",G269&lt;&gt;"Разово"),"↻ "&amp;G269,""),IF(F269&lt;TODAY(),"Просрочено на "&amp;(TODAY()-F269)&amp;" дн.",IF(F269=TODAY(),"Сегодня",IF(F269=TODAY()+1,"Завтра","Через "&amp;(F269-TODAY())&amp;" дн.")))))</f>
        <v/>
      </c>
      <c r="L269" s="0" t="str">
        <f aca="true">IF(J269="","",(IF(AND(F269&lt;&gt;"",F269&lt;TODAY()),0,1)*10000000+IFERROR(MATCH(C269,{"Срочно","Высокий","Средний","Низкий"},0),5)*100000+IF(F269="",99999,F269))*1000+ROW())</f>
        <v/>
      </c>
      <c r="M269" s="0" t="str">
        <f aca="false">IF(AND($J269="Срочные",OR(Главная!$F$6="Все",$B269=Главная!$F$6),OR(Главная!$F$7="Все",$C269=Главная!$F$7)),$L269,"")</f>
        <v/>
      </c>
      <c r="N269" s="0" t="str">
        <f aca="false">IF(AND($J269="Текущие",OR(Главная!$F$6="Все",$B269=Главная!$F$6),OR(Главная!$F$7="Все",$C269=Главная!$F$7)),$L269,"")</f>
        <v/>
      </c>
      <c r="O269" s="0" t="str">
        <f aca="false">IF(AND($J269="Плановые",OR(Главная!$F$6="Все",$B269=Главная!$F$6),OR(Главная!$F$7="Все",$C269=Главная!$F$7)),$L269,"")</f>
        <v/>
      </c>
      <c r="P269" s="0" t="str">
        <f aca="false">IF(J269="Выполнено",ROW(),"")</f>
        <v/>
      </c>
    </row>
    <row r="270" customFormat="false" ht="21.75" hidden="false" customHeight="true" outlineLevel="0" collapsed="false">
      <c r="A270" s="31"/>
      <c r="B270" s="31"/>
      <c r="C270" s="32"/>
      <c r="D270" s="32"/>
      <c r="E270" s="33"/>
      <c r="F270" s="33"/>
      <c r="G270" s="32"/>
      <c r="H270" s="32"/>
      <c r="I270" s="31"/>
      <c r="J270" s="34" t="str">
        <f aca="true">IF(TRIM(A270)="","",IF(D270="Выполнено","Выполнено",IF(OR(C270="Срочно",AND(F270&lt;&gt;"",F270&lt;=TODAY())),"Срочные",IF(OR(D270="Отложено",C270="Низкий",AND(F270&lt;&gt;"",F270&gt;TODAY()+Справочники!$H$2)),"Плановые","Текущие"))))</f>
        <v/>
      </c>
      <c r="K270" s="35" t="str">
        <f aca="true">IF(OR(A270="",D270="Выполнено"),"",IF(F270="",IF(AND(G270&lt;&gt;"",G270&lt;&gt;"Разово"),"↻ "&amp;G270,""),IF(F270&lt;TODAY(),"Просрочено на "&amp;(TODAY()-F270)&amp;" дн.",IF(F270=TODAY(),"Сегодня",IF(F270=TODAY()+1,"Завтра","Через "&amp;(F270-TODAY())&amp;" дн.")))))</f>
        <v/>
      </c>
      <c r="L270" s="0" t="str">
        <f aca="true">IF(J270="","",(IF(AND(F270&lt;&gt;"",F270&lt;TODAY()),0,1)*10000000+IFERROR(MATCH(C270,{"Срочно","Высокий","Средний","Низкий"},0),5)*100000+IF(F270="",99999,F270))*1000+ROW())</f>
        <v/>
      </c>
      <c r="M270" s="0" t="str">
        <f aca="false">IF(AND($J270="Срочные",OR(Главная!$F$6="Все",$B270=Главная!$F$6),OR(Главная!$F$7="Все",$C270=Главная!$F$7)),$L270,"")</f>
        <v/>
      </c>
      <c r="N270" s="0" t="str">
        <f aca="false">IF(AND($J270="Текущие",OR(Главная!$F$6="Все",$B270=Главная!$F$6),OR(Главная!$F$7="Все",$C270=Главная!$F$7)),$L270,"")</f>
        <v/>
      </c>
      <c r="O270" s="0" t="str">
        <f aca="false">IF(AND($J270="Плановые",OR(Главная!$F$6="Все",$B270=Главная!$F$6),OR(Главная!$F$7="Все",$C270=Главная!$F$7)),$L270,"")</f>
        <v/>
      </c>
      <c r="P270" s="0" t="str">
        <f aca="false">IF(J270="Выполнено",ROW(),"")</f>
        <v/>
      </c>
    </row>
    <row r="271" customFormat="false" ht="21.75" hidden="false" customHeight="true" outlineLevel="0" collapsed="false">
      <c r="A271" s="31"/>
      <c r="B271" s="31"/>
      <c r="C271" s="32"/>
      <c r="D271" s="32"/>
      <c r="E271" s="33"/>
      <c r="F271" s="33"/>
      <c r="G271" s="32"/>
      <c r="H271" s="32"/>
      <c r="I271" s="31"/>
      <c r="J271" s="34" t="str">
        <f aca="true">IF(TRIM(A271)="","",IF(D271="Выполнено","Выполнено",IF(OR(C271="Срочно",AND(F271&lt;&gt;"",F271&lt;=TODAY())),"Срочные",IF(OR(D271="Отложено",C271="Низкий",AND(F271&lt;&gt;"",F271&gt;TODAY()+Справочники!$H$2)),"Плановые","Текущие"))))</f>
        <v/>
      </c>
      <c r="K271" s="35" t="str">
        <f aca="true">IF(OR(A271="",D271="Выполнено"),"",IF(F271="",IF(AND(G271&lt;&gt;"",G271&lt;&gt;"Разово"),"↻ "&amp;G271,""),IF(F271&lt;TODAY(),"Просрочено на "&amp;(TODAY()-F271)&amp;" дн.",IF(F271=TODAY(),"Сегодня",IF(F271=TODAY()+1,"Завтра","Через "&amp;(F271-TODAY())&amp;" дн.")))))</f>
        <v/>
      </c>
      <c r="L271" s="0" t="str">
        <f aca="true">IF(J271="","",(IF(AND(F271&lt;&gt;"",F271&lt;TODAY()),0,1)*10000000+IFERROR(MATCH(C271,{"Срочно","Высокий","Средний","Низкий"},0),5)*100000+IF(F271="",99999,F271))*1000+ROW())</f>
        <v/>
      </c>
      <c r="M271" s="0" t="str">
        <f aca="false">IF(AND($J271="Срочные",OR(Главная!$F$6="Все",$B271=Главная!$F$6),OR(Главная!$F$7="Все",$C271=Главная!$F$7)),$L271,"")</f>
        <v/>
      </c>
      <c r="N271" s="0" t="str">
        <f aca="false">IF(AND($J271="Текущие",OR(Главная!$F$6="Все",$B271=Главная!$F$6),OR(Главная!$F$7="Все",$C271=Главная!$F$7)),$L271,"")</f>
        <v/>
      </c>
      <c r="O271" s="0" t="str">
        <f aca="false">IF(AND($J271="Плановые",OR(Главная!$F$6="Все",$B271=Главная!$F$6),OR(Главная!$F$7="Все",$C271=Главная!$F$7)),$L271,"")</f>
        <v/>
      </c>
      <c r="P271" s="0" t="str">
        <f aca="false">IF(J271="Выполнено",ROW(),"")</f>
        <v/>
      </c>
    </row>
    <row r="272" customFormat="false" ht="21.75" hidden="false" customHeight="true" outlineLevel="0" collapsed="false">
      <c r="A272" s="31"/>
      <c r="B272" s="31"/>
      <c r="C272" s="32"/>
      <c r="D272" s="32"/>
      <c r="E272" s="33"/>
      <c r="F272" s="33"/>
      <c r="G272" s="32"/>
      <c r="H272" s="32"/>
      <c r="I272" s="31"/>
      <c r="J272" s="34" t="str">
        <f aca="true">IF(TRIM(A272)="","",IF(D272="Выполнено","Выполнено",IF(OR(C272="Срочно",AND(F272&lt;&gt;"",F272&lt;=TODAY())),"Срочные",IF(OR(D272="Отложено",C272="Низкий",AND(F272&lt;&gt;"",F272&gt;TODAY()+Справочники!$H$2)),"Плановые","Текущие"))))</f>
        <v/>
      </c>
      <c r="K272" s="35" t="str">
        <f aca="true">IF(OR(A272="",D272="Выполнено"),"",IF(F272="",IF(AND(G272&lt;&gt;"",G272&lt;&gt;"Разово"),"↻ "&amp;G272,""),IF(F272&lt;TODAY(),"Просрочено на "&amp;(TODAY()-F272)&amp;" дн.",IF(F272=TODAY(),"Сегодня",IF(F272=TODAY()+1,"Завтра","Через "&amp;(F272-TODAY())&amp;" дн.")))))</f>
        <v/>
      </c>
      <c r="L272" s="0" t="str">
        <f aca="true">IF(J272="","",(IF(AND(F272&lt;&gt;"",F272&lt;TODAY()),0,1)*10000000+IFERROR(MATCH(C272,{"Срочно","Высокий","Средний","Низкий"},0),5)*100000+IF(F272="",99999,F272))*1000+ROW())</f>
        <v/>
      </c>
      <c r="M272" s="0" t="str">
        <f aca="false">IF(AND($J272="Срочные",OR(Главная!$F$6="Все",$B272=Главная!$F$6),OR(Главная!$F$7="Все",$C272=Главная!$F$7)),$L272,"")</f>
        <v/>
      </c>
      <c r="N272" s="0" t="str">
        <f aca="false">IF(AND($J272="Текущие",OR(Главная!$F$6="Все",$B272=Главная!$F$6),OR(Главная!$F$7="Все",$C272=Главная!$F$7)),$L272,"")</f>
        <v/>
      </c>
      <c r="O272" s="0" t="str">
        <f aca="false">IF(AND($J272="Плановые",OR(Главная!$F$6="Все",$B272=Главная!$F$6),OR(Главная!$F$7="Все",$C272=Главная!$F$7)),$L272,"")</f>
        <v/>
      </c>
      <c r="P272" s="0" t="str">
        <f aca="false">IF(J272="Выполнено",ROW(),"")</f>
        <v/>
      </c>
    </row>
    <row r="273" customFormat="false" ht="21.75" hidden="false" customHeight="true" outlineLevel="0" collapsed="false">
      <c r="A273" s="31"/>
      <c r="B273" s="31"/>
      <c r="C273" s="32"/>
      <c r="D273" s="32"/>
      <c r="E273" s="33"/>
      <c r="F273" s="33"/>
      <c r="G273" s="32"/>
      <c r="H273" s="32"/>
      <c r="I273" s="31"/>
      <c r="J273" s="34" t="str">
        <f aca="true">IF(TRIM(A273)="","",IF(D273="Выполнено","Выполнено",IF(OR(C273="Срочно",AND(F273&lt;&gt;"",F273&lt;=TODAY())),"Срочные",IF(OR(D273="Отложено",C273="Низкий",AND(F273&lt;&gt;"",F273&gt;TODAY()+Справочники!$H$2)),"Плановые","Текущие"))))</f>
        <v/>
      </c>
      <c r="K273" s="35" t="str">
        <f aca="true">IF(OR(A273="",D273="Выполнено"),"",IF(F273="",IF(AND(G273&lt;&gt;"",G273&lt;&gt;"Разово"),"↻ "&amp;G273,""),IF(F273&lt;TODAY(),"Просрочено на "&amp;(TODAY()-F273)&amp;" дн.",IF(F273=TODAY(),"Сегодня",IF(F273=TODAY()+1,"Завтра","Через "&amp;(F273-TODAY())&amp;" дн.")))))</f>
        <v/>
      </c>
      <c r="L273" s="0" t="str">
        <f aca="true">IF(J273="","",(IF(AND(F273&lt;&gt;"",F273&lt;TODAY()),0,1)*10000000+IFERROR(MATCH(C273,{"Срочно","Высокий","Средний","Низкий"},0),5)*100000+IF(F273="",99999,F273))*1000+ROW())</f>
        <v/>
      </c>
      <c r="M273" s="0" t="str">
        <f aca="false">IF(AND($J273="Срочные",OR(Главная!$F$6="Все",$B273=Главная!$F$6),OR(Главная!$F$7="Все",$C273=Главная!$F$7)),$L273,"")</f>
        <v/>
      </c>
      <c r="N273" s="0" t="str">
        <f aca="false">IF(AND($J273="Текущие",OR(Главная!$F$6="Все",$B273=Главная!$F$6),OR(Главная!$F$7="Все",$C273=Главная!$F$7)),$L273,"")</f>
        <v/>
      </c>
      <c r="O273" s="0" t="str">
        <f aca="false">IF(AND($J273="Плановые",OR(Главная!$F$6="Все",$B273=Главная!$F$6),OR(Главная!$F$7="Все",$C273=Главная!$F$7)),$L273,"")</f>
        <v/>
      </c>
      <c r="P273" s="0" t="str">
        <f aca="false">IF(J273="Выполнено",ROW(),"")</f>
        <v/>
      </c>
    </row>
    <row r="274" customFormat="false" ht="21.75" hidden="false" customHeight="true" outlineLevel="0" collapsed="false">
      <c r="A274" s="31"/>
      <c r="B274" s="31"/>
      <c r="C274" s="32"/>
      <c r="D274" s="32"/>
      <c r="E274" s="33"/>
      <c r="F274" s="33"/>
      <c r="G274" s="32"/>
      <c r="H274" s="32"/>
      <c r="I274" s="31"/>
      <c r="J274" s="34" t="str">
        <f aca="true">IF(TRIM(A274)="","",IF(D274="Выполнено","Выполнено",IF(OR(C274="Срочно",AND(F274&lt;&gt;"",F274&lt;=TODAY())),"Срочные",IF(OR(D274="Отложено",C274="Низкий",AND(F274&lt;&gt;"",F274&gt;TODAY()+Справочники!$H$2)),"Плановые","Текущие"))))</f>
        <v/>
      </c>
      <c r="K274" s="35" t="str">
        <f aca="true">IF(OR(A274="",D274="Выполнено"),"",IF(F274="",IF(AND(G274&lt;&gt;"",G274&lt;&gt;"Разово"),"↻ "&amp;G274,""),IF(F274&lt;TODAY(),"Просрочено на "&amp;(TODAY()-F274)&amp;" дн.",IF(F274=TODAY(),"Сегодня",IF(F274=TODAY()+1,"Завтра","Через "&amp;(F274-TODAY())&amp;" дн.")))))</f>
        <v/>
      </c>
      <c r="L274" s="0" t="str">
        <f aca="true">IF(J274="","",(IF(AND(F274&lt;&gt;"",F274&lt;TODAY()),0,1)*10000000+IFERROR(MATCH(C274,{"Срочно","Высокий","Средний","Низкий"},0),5)*100000+IF(F274="",99999,F274))*1000+ROW())</f>
        <v/>
      </c>
      <c r="M274" s="0" t="str">
        <f aca="false">IF(AND($J274="Срочные",OR(Главная!$F$6="Все",$B274=Главная!$F$6),OR(Главная!$F$7="Все",$C274=Главная!$F$7)),$L274,"")</f>
        <v/>
      </c>
      <c r="N274" s="0" t="str">
        <f aca="false">IF(AND($J274="Текущие",OR(Главная!$F$6="Все",$B274=Главная!$F$6),OR(Главная!$F$7="Все",$C274=Главная!$F$7)),$L274,"")</f>
        <v/>
      </c>
      <c r="O274" s="0" t="str">
        <f aca="false">IF(AND($J274="Плановые",OR(Главная!$F$6="Все",$B274=Главная!$F$6),OR(Главная!$F$7="Все",$C274=Главная!$F$7)),$L274,"")</f>
        <v/>
      </c>
      <c r="P274" s="0" t="str">
        <f aca="false">IF(J274="Выполнено",ROW(),"")</f>
        <v/>
      </c>
    </row>
    <row r="275" customFormat="false" ht="21.75" hidden="false" customHeight="true" outlineLevel="0" collapsed="false">
      <c r="A275" s="31"/>
      <c r="B275" s="31"/>
      <c r="C275" s="32"/>
      <c r="D275" s="32"/>
      <c r="E275" s="33"/>
      <c r="F275" s="33"/>
      <c r="G275" s="32"/>
      <c r="H275" s="32"/>
      <c r="I275" s="31"/>
      <c r="J275" s="34" t="str">
        <f aca="true">IF(TRIM(A275)="","",IF(D275="Выполнено","Выполнено",IF(OR(C275="Срочно",AND(F275&lt;&gt;"",F275&lt;=TODAY())),"Срочные",IF(OR(D275="Отложено",C275="Низкий",AND(F275&lt;&gt;"",F275&gt;TODAY()+Справочники!$H$2)),"Плановые","Текущие"))))</f>
        <v/>
      </c>
      <c r="K275" s="35" t="str">
        <f aca="true">IF(OR(A275="",D275="Выполнено"),"",IF(F275="",IF(AND(G275&lt;&gt;"",G275&lt;&gt;"Разово"),"↻ "&amp;G275,""),IF(F275&lt;TODAY(),"Просрочено на "&amp;(TODAY()-F275)&amp;" дн.",IF(F275=TODAY(),"Сегодня",IF(F275=TODAY()+1,"Завтра","Через "&amp;(F275-TODAY())&amp;" дн.")))))</f>
        <v/>
      </c>
      <c r="L275" s="0" t="str">
        <f aca="true">IF(J275="","",(IF(AND(F275&lt;&gt;"",F275&lt;TODAY()),0,1)*10000000+IFERROR(MATCH(C275,{"Срочно","Высокий","Средний","Низкий"},0),5)*100000+IF(F275="",99999,F275))*1000+ROW())</f>
        <v/>
      </c>
      <c r="M275" s="0" t="str">
        <f aca="false">IF(AND($J275="Срочные",OR(Главная!$F$6="Все",$B275=Главная!$F$6),OR(Главная!$F$7="Все",$C275=Главная!$F$7)),$L275,"")</f>
        <v/>
      </c>
      <c r="N275" s="0" t="str">
        <f aca="false">IF(AND($J275="Текущие",OR(Главная!$F$6="Все",$B275=Главная!$F$6),OR(Главная!$F$7="Все",$C275=Главная!$F$7)),$L275,"")</f>
        <v/>
      </c>
      <c r="O275" s="0" t="str">
        <f aca="false">IF(AND($J275="Плановые",OR(Главная!$F$6="Все",$B275=Главная!$F$6),OR(Главная!$F$7="Все",$C275=Главная!$F$7)),$L275,"")</f>
        <v/>
      </c>
      <c r="P275" s="0" t="str">
        <f aca="false">IF(J275="Выполнено",ROW(),"")</f>
        <v/>
      </c>
    </row>
    <row r="276" customFormat="false" ht="21.75" hidden="false" customHeight="true" outlineLevel="0" collapsed="false">
      <c r="A276" s="31"/>
      <c r="B276" s="31"/>
      <c r="C276" s="32"/>
      <c r="D276" s="32"/>
      <c r="E276" s="33"/>
      <c r="F276" s="33"/>
      <c r="G276" s="32"/>
      <c r="H276" s="32"/>
      <c r="I276" s="31"/>
      <c r="J276" s="34" t="str">
        <f aca="true">IF(TRIM(A276)="","",IF(D276="Выполнено","Выполнено",IF(OR(C276="Срочно",AND(F276&lt;&gt;"",F276&lt;=TODAY())),"Срочные",IF(OR(D276="Отложено",C276="Низкий",AND(F276&lt;&gt;"",F276&gt;TODAY()+Справочники!$H$2)),"Плановые","Текущие"))))</f>
        <v/>
      </c>
      <c r="K276" s="35" t="str">
        <f aca="true">IF(OR(A276="",D276="Выполнено"),"",IF(F276="",IF(AND(G276&lt;&gt;"",G276&lt;&gt;"Разово"),"↻ "&amp;G276,""),IF(F276&lt;TODAY(),"Просрочено на "&amp;(TODAY()-F276)&amp;" дн.",IF(F276=TODAY(),"Сегодня",IF(F276=TODAY()+1,"Завтра","Через "&amp;(F276-TODAY())&amp;" дн.")))))</f>
        <v/>
      </c>
      <c r="L276" s="0" t="str">
        <f aca="true">IF(J276="","",(IF(AND(F276&lt;&gt;"",F276&lt;TODAY()),0,1)*10000000+IFERROR(MATCH(C276,{"Срочно","Высокий","Средний","Низкий"},0),5)*100000+IF(F276="",99999,F276))*1000+ROW())</f>
        <v/>
      </c>
      <c r="M276" s="0" t="str">
        <f aca="false">IF(AND($J276="Срочные",OR(Главная!$F$6="Все",$B276=Главная!$F$6),OR(Главная!$F$7="Все",$C276=Главная!$F$7)),$L276,"")</f>
        <v/>
      </c>
      <c r="N276" s="0" t="str">
        <f aca="false">IF(AND($J276="Текущие",OR(Главная!$F$6="Все",$B276=Главная!$F$6),OR(Главная!$F$7="Все",$C276=Главная!$F$7)),$L276,"")</f>
        <v/>
      </c>
      <c r="O276" s="0" t="str">
        <f aca="false">IF(AND($J276="Плановые",OR(Главная!$F$6="Все",$B276=Главная!$F$6),OR(Главная!$F$7="Все",$C276=Главная!$F$7)),$L276,"")</f>
        <v/>
      </c>
      <c r="P276" s="0" t="str">
        <f aca="false">IF(J276="Выполнено",ROW(),"")</f>
        <v/>
      </c>
    </row>
    <row r="277" customFormat="false" ht="21.75" hidden="false" customHeight="true" outlineLevel="0" collapsed="false">
      <c r="A277" s="31"/>
      <c r="B277" s="31"/>
      <c r="C277" s="32"/>
      <c r="D277" s="32"/>
      <c r="E277" s="33"/>
      <c r="F277" s="33"/>
      <c r="G277" s="32"/>
      <c r="H277" s="32"/>
      <c r="I277" s="31"/>
      <c r="J277" s="34" t="str">
        <f aca="true">IF(TRIM(A277)="","",IF(D277="Выполнено","Выполнено",IF(OR(C277="Срочно",AND(F277&lt;&gt;"",F277&lt;=TODAY())),"Срочные",IF(OR(D277="Отложено",C277="Низкий",AND(F277&lt;&gt;"",F277&gt;TODAY()+Справочники!$H$2)),"Плановые","Текущие"))))</f>
        <v/>
      </c>
      <c r="K277" s="35" t="str">
        <f aca="true">IF(OR(A277="",D277="Выполнено"),"",IF(F277="",IF(AND(G277&lt;&gt;"",G277&lt;&gt;"Разово"),"↻ "&amp;G277,""),IF(F277&lt;TODAY(),"Просрочено на "&amp;(TODAY()-F277)&amp;" дн.",IF(F277=TODAY(),"Сегодня",IF(F277=TODAY()+1,"Завтра","Через "&amp;(F277-TODAY())&amp;" дн.")))))</f>
        <v/>
      </c>
      <c r="L277" s="0" t="str">
        <f aca="true">IF(J277="","",(IF(AND(F277&lt;&gt;"",F277&lt;TODAY()),0,1)*10000000+IFERROR(MATCH(C277,{"Срочно","Высокий","Средний","Низкий"},0),5)*100000+IF(F277="",99999,F277))*1000+ROW())</f>
        <v/>
      </c>
      <c r="M277" s="0" t="str">
        <f aca="false">IF(AND($J277="Срочные",OR(Главная!$F$6="Все",$B277=Главная!$F$6),OR(Главная!$F$7="Все",$C277=Главная!$F$7)),$L277,"")</f>
        <v/>
      </c>
      <c r="N277" s="0" t="str">
        <f aca="false">IF(AND($J277="Текущие",OR(Главная!$F$6="Все",$B277=Главная!$F$6),OR(Главная!$F$7="Все",$C277=Главная!$F$7)),$L277,"")</f>
        <v/>
      </c>
      <c r="O277" s="0" t="str">
        <f aca="false">IF(AND($J277="Плановые",OR(Главная!$F$6="Все",$B277=Главная!$F$6),OR(Главная!$F$7="Все",$C277=Главная!$F$7)),$L277,"")</f>
        <v/>
      </c>
      <c r="P277" s="0" t="str">
        <f aca="false">IF(J277="Выполнено",ROW(),"")</f>
        <v/>
      </c>
    </row>
    <row r="278" customFormat="false" ht="21.75" hidden="false" customHeight="true" outlineLevel="0" collapsed="false">
      <c r="A278" s="31"/>
      <c r="B278" s="31"/>
      <c r="C278" s="32"/>
      <c r="D278" s="32"/>
      <c r="E278" s="33"/>
      <c r="F278" s="33"/>
      <c r="G278" s="32"/>
      <c r="H278" s="32"/>
      <c r="I278" s="31"/>
      <c r="J278" s="34" t="str">
        <f aca="true">IF(TRIM(A278)="","",IF(D278="Выполнено","Выполнено",IF(OR(C278="Срочно",AND(F278&lt;&gt;"",F278&lt;=TODAY())),"Срочные",IF(OR(D278="Отложено",C278="Низкий",AND(F278&lt;&gt;"",F278&gt;TODAY()+Справочники!$H$2)),"Плановые","Текущие"))))</f>
        <v/>
      </c>
      <c r="K278" s="35" t="str">
        <f aca="true">IF(OR(A278="",D278="Выполнено"),"",IF(F278="",IF(AND(G278&lt;&gt;"",G278&lt;&gt;"Разово"),"↻ "&amp;G278,""),IF(F278&lt;TODAY(),"Просрочено на "&amp;(TODAY()-F278)&amp;" дн.",IF(F278=TODAY(),"Сегодня",IF(F278=TODAY()+1,"Завтра","Через "&amp;(F278-TODAY())&amp;" дн.")))))</f>
        <v/>
      </c>
      <c r="L278" s="0" t="str">
        <f aca="true">IF(J278="","",(IF(AND(F278&lt;&gt;"",F278&lt;TODAY()),0,1)*10000000+IFERROR(MATCH(C278,{"Срочно","Высокий","Средний","Низкий"},0),5)*100000+IF(F278="",99999,F278))*1000+ROW())</f>
        <v/>
      </c>
      <c r="M278" s="0" t="str">
        <f aca="false">IF(AND($J278="Срочные",OR(Главная!$F$6="Все",$B278=Главная!$F$6),OR(Главная!$F$7="Все",$C278=Главная!$F$7)),$L278,"")</f>
        <v/>
      </c>
      <c r="N278" s="0" t="str">
        <f aca="false">IF(AND($J278="Текущие",OR(Главная!$F$6="Все",$B278=Главная!$F$6),OR(Главная!$F$7="Все",$C278=Главная!$F$7)),$L278,"")</f>
        <v/>
      </c>
      <c r="O278" s="0" t="str">
        <f aca="false">IF(AND($J278="Плановые",OR(Главная!$F$6="Все",$B278=Главная!$F$6),OR(Главная!$F$7="Все",$C278=Главная!$F$7)),$L278,"")</f>
        <v/>
      </c>
      <c r="P278" s="0" t="str">
        <f aca="false">IF(J278="Выполнено",ROW(),"")</f>
        <v/>
      </c>
    </row>
    <row r="279" customFormat="false" ht="21.75" hidden="false" customHeight="true" outlineLevel="0" collapsed="false">
      <c r="A279" s="31"/>
      <c r="B279" s="31"/>
      <c r="C279" s="32"/>
      <c r="D279" s="32"/>
      <c r="E279" s="33"/>
      <c r="F279" s="33"/>
      <c r="G279" s="32"/>
      <c r="H279" s="32"/>
      <c r="I279" s="31"/>
      <c r="J279" s="34" t="str">
        <f aca="true">IF(TRIM(A279)="","",IF(D279="Выполнено","Выполнено",IF(OR(C279="Срочно",AND(F279&lt;&gt;"",F279&lt;=TODAY())),"Срочные",IF(OR(D279="Отложено",C279="Низкий",AND(F279&lt;&gt;"",F279&gt;TODAY()+Справочники!$H$2)),"Плановые","Текущие"))))</f>
        <v/>
      </c>
      <c r="K279" s="35" t="str">
        <f aca="true">IF(OR(A279="",D279="Выполнено"),"",IF(F279="",IF(AND(G279&lt;&gt;"",G279&lt;&gt;"Разово"),"↻ "&amp;G279,""),IF(F279&lt;TODAY(),"Просрочено на "&amp;(TODAY()-F279)&amp;" дн.",IF(F279=TODAY(),"Сегодня",IF(F279=TODAY()+1,"Завтра","Через "&amp;(F279-TODAY())&amp;" дн.")))))</f>
        <v/>
      </c>
      <c r="L279" s="0" t="str">
        <f aca="true">IF(J279="","",(IF(AND(F279&lt;&gt;"",F279&lt;TODAY()),0,1)*10000000+IFERROR(MATCH(C279,{"Срочно","Высокий","Средний","Низкий"},0),5)*100000+IF(F279="",99999,F279))*1000+ROW())</f>
        <v/>
      </c>
      <c r="M279" s="0" t="str">
        <f aca="false">IF(AND($J279="Срочные",OR(Главная!$F$6="Все",$B279=Главная!$F$6),OR(Главная!$F$7="Все",$C279=Главная!$F$7)),$L279,"")</f>
        <v/>
      </c>
      <c r="N279" s="0" t="str">
        <f aca="false">IF(AND($J279="Текущие",OR(Главная!$F$6="Все",$B279=Главная!$F$6),OR(Главная!$F$7="Все",$C279=Главная!$F$7)),$L279,"")</f>
        <v/>
      </c>
      <c r="O279" s="0" t="str">
        <f aca="false">IF(AND($J279="Плановые",OR(Главная!$F$6="Все",$B279=Главная!$F$6),OR(Главная!$F$7="Все",$C279=Главная!$F$7)),$L279,"")</f>
        <v/>
      </c>
      <c r="P279" s="0" t="str">
        <f aca="false">IF(J279="Выполнено",ROW(),"")</f>
        <v/>
      </c>
    </row>
    <row r="280" customFormat="false" ht="21.75" hidden="false" customHeight="true" outlineLevel="0" collapsed="false">
      <c r="A280" s="31"/>
      <c r="B280" s="31"/>
      <c r="C280" s="32"/>
      <c r="D280" s="32"/>
      <c r="E280" s="33"/>
      <c r="F280" s="33"/>
      <c r="G280" s="32"/>
      <c r="H280" s="32"/>
      <c r="I280" s="31"/>
      <c r="J280" s="34" t="str">
        <f aca="true">IF(TRIM(A280)="","",IF(D280="Выполнено","Выполнено",IF(OR(C280="Срочно",AND(F280&lt;&gt;"",F280&lt;=TODAY())),"Срочные",IF(OR(D280="Отложено",C280="Низкий",AND(F280&lt;&gt;"",F280&gt;TODAY()+Справочники!$H$2)),"Плановые","Текущие"))))</f>
        <v/>
      </c>
      <c r="K280" s="35" t="str">
        <f aca="true">IF(OR(A280="",D280="Выполнено"),"",IF(F280="",IF(AND(G280&lt;&gt;"",G280&lt;&gt;"Разово"),"↻ "&amp;G280,""),IF(F280&lt;TODAY(),"Просрочено на "&amp;(TODAY()-F280)&amp;" дн.",IF(F280=TODAY(),"Сегодня",IF(F280=TODAY()+1,"Завтра","Через "&amp;(F280-TODAY())&amp;" дн.")))))</f>
        <v/>
      </c>
      <c r="L280" s="0" t="str">
        <f aca="true">IF(J280="","",(IF(AND(F280&lt;&gt;"",F280&lt;TODAY()),0,1)*10000000+IFERROR(MATCH(C280,{"Срочно","Высокий","Средний","Низкий"},0),5)*100000+IF(F280="",99999,F280))*1000+ROW())</f>
        <v/>
      </c>
      <c r="M280" s="0" t="str">
        <f aca="false">IF(AND($J280="Срочные",OR(Главная!$F$6="Все",$B280=Главная!$F$6),OR(Главная!$F$7="Все",$C280=Главная!$F$7)),$L280,"")</f>
        <v/>
      </c>
      <c r="N280" s="0" t="str">
        <f aca="false">IF(AND($J280="Текущие",OR(Главная!$F$6="Все",$B280=Главная!$F$6),OR(Главная!$F$7="Все",$C280=Главная!$F$7)),$L280,"")</f>
        <v/>
      </c>
      <c r="O280" s="0" t="str">
        <f aca="false">IF(AND($J280="Плановые",OR(Главная!$F$6="Все",$B280=Главная!$F$6),OR(Главная!$F$7="Все",$C280=Главная!$F$7)),$L280,"")</f>
        <v/>
      </c>
      <c r="P280" s="0" t="str">
        <f aca="false">IF(J280="Выполнено",ROW(),"")</f>
        <v/>
      </c>
    </row>
    <row r="281" customFormat="false" ht="21.75" hidden="false" customHeight="true" outlineLevel="0" collapsed="false">
      <c r="A281" s="31"/>
      <c r="B281" s="31"/>
      <c r="C281" s="32"/>
      <c r="D281" s="32"/>
      <c r="E281" s="33"/>
      <c r="F281" s="33"/>
      <c r="G281" s="32"/>
      <c r="H281" s="32"/>
      <c r="I281" s="31"/>
      <c r="J281" s="34" t="str">
        <f aca="true">IF(TRIM(A281)="","",IF(D281="Выполнено","Выполнено",IF(OR(C281="Срочно",AND(F281&lt;&gt;"",F281&lt;=TODAY())),"Срочные",IF(OR(D281="Отложено",C281="Низкий",AND(F281&lt;&gt;"",F281&gt;TODAY()+Справочники!$H$2)),"Плановые","Текущие"))))</f>
        <v/>
      </c>
      <c r="K281" s="35" t="str">
        <f aca="true">IF(OR(A281="",D281="Выполнено"),"",IF(F281="",IF(AND(G281&lt;&gt;"",G281&lt;&gt;"Разово"),"↻ "&amp;G281,""),IF(F281&lt;TODAY(),"Просрочено на "&amp;(TODAY()-F281)&amp;" дн.",IF(F281=TODAY(),"Сегодня",IF(F281=TODAY()+1,"Завтра","Через "&amp;(F281-TODAY())&amp;" дн.")))))</f>
        <v/>
      </c>
      <c r="L281" s="0" t="str">
        <f aca="true">IF(J281="","",(IF(AND(F281&lt;&gt;"",F281&lt;TODAY()),0,1)*10000000+IFERROR(MATCH(C281,{"Срочно","Высокий","Средний","Низкий"},0),5)*100000+IF(F281="",99999,F281))*1000+ROW())</f>
        <v/>
      </c>
      <c r="M281" s="0" t="str">
        <f aca="false">IF(AND($J281="Срочные",OR(Главная!$F$6="Все",$B281=Главная!$F$6),OR(Главная!$F$7="Все",$C281=Главная!$F$7)),$L281,"")</f>
        <v/>
      </c>
      <c r="N281" s="0" t="str">
        <f aca="false">IF(AND($J281="Текущие",OR(Главная!$F$6="Все",$B281=Главная!$F$6),OR(Главная!$F$7="Все",$C281=Главная!$F$7)),$L281,"")</f>
        <v/>
      </c>
      <c r="O281" s="0" t="str">
        <f aca="false">IF(AND($J281="Плановые",OR(Главная!$F$6="Все",$B281=Главная!$F$6),OR(Главная!$F$7="Все",$C281=Главная!$F$7)),$L281,"")</f>
        <v/>
      </c>
      <c r="P281" s="0" t="str">
        <f aca="false">IF(J281="Выполнено",ROW(),"")</f>
        <v/>
      </c>
    </row>
    <row r="282" customFormat="false" ht="21.75" hidden="false" customHeight="true" outlineLevel="0" collapsed="false">
      <c r="A282" s="31"/>
      <c r="B282" s="31"/>
      <c r="C282" s="32"/>
      <c r="D282" s="32"/>
      <c r="E282" s="33"/>
      <c r="F282" s="33"/>
      <c r="G282" s="32"/>
      <c r="H282" s="32"/>
      <c r="I282" s="31"/>
      <c r="J282" s="34" t="str">
        <f aca="true">IF(TRIM(A282)="","",IF(D282="Выполнено","Выполнено",IF(OR(C282="Срочно",AND(F282&lt;&gt;"",F282&lt;=TODAY())),"Срочные",IF(OR(D282="Отложено",C282="Низкий",AND(F282&lt;&gt;"",F282&gt;TODAY()+Справочники!$H$2)),"Плановые","Текущие"))))</f>
        <v/>
      </c>
      <c r="K282" s="35" t="str">
        <f aca="true">IF(OR(A282="",D282="Выполнено"),"",IF(F282="",IF(AND(G282&lt;&gt;"",G282&lt;&gt;"Разово"),"↻ "&amp;G282,""),IF(F282&lt;TODAY(),"Просрочено на "&amp;(TODAY()-F282)&amp;" дн.",IF(F282=TODAY(),"Сегодня",IF(F282=TODAY()+1,"Завтра","Через "&amp;(F282-TODAY())&amp;" дн.")))))</f>
        <v/>
      </c>
      <c r="L282" s="0" t="str">
        <f aca="true">IF(J282="","",(IF(AND(F282&lt;&gt;"",F282&lt;TODAY()),0,1)*10000000+IFERROR(MATCH(C282,{"Срочно","Высокий","Средний","Низкий"},0),5)*100000+IF(F282="",99999,F282))*1000+ROW())</f>
        <v/>
      </c>
      <c r="M282" s="0" t="str">
        <f aca="false">IF(AND($J282="Срочные",OR(Главная!$F$6="Все",$B282=Главная!$F$6),OR(Главная!$F$7="Все",$C282=Главная!$F$7)),$L282,"")</f>
        <v/>
      </c>
      <c r="N282" s="0" t="str">
        <f aca="false">IF(AND($J282="Текущие",OR(Главная!$F$6="Все",$B282=Главная!$F$6),OR(Главная!$F$7="Все",$C282=Главная!$F$7)),$L282,"")</f>
        <v/>
      </c>
      <c r="O282" s="0" t="str">
        <f aca="false">IF(AND($J282="Плановые",OR(Главная!$F$6="Все",$B282=Главная!$F$6),OR(Главная!$F$7="Все",$C282=Главная!$F$7)),$L282,"")</f>
        <v/>
      </c>
      <c r="P282" s="0" t="str">
        <f aca="false">IF(J282="Выполнено",ROW(),"")</f>
        <v/>
      </c>
    </row>
    <row r="283" customFormat="false" ht="21.75" hidden="false" customHeight="true" outlineLevel="0" collapsed="false">
      <c r="A283" s="31"/>
      <c r="B283" s="31"/>
      <c r="C283" s="32"/>
      <c r="D283" s="32"/>
      <c r="E283" s="33"/>
      <c r="F283" s="33"/>
      <c r="G283" s="32"/>
      <c r="H283" s="32"/>
      <c r="I283" s="31"/>
      <c r="J283" s="34" t="str">
        <f aca="true">IF(TRIM(A283)="","",IF(D283="Выполнено","Выполнено",IF(OR(C283="Срочно",AND(F283&lt;&gt;"",F283&lt;=TODAY())),"Срочные",IF(OR(D283="Отложено",C283="Низкий",AND(F283&lt;&gt;"",F283&gt;TODAY()+Справочники!$H$2)),"Плановые","Текущие"))))</f>
        <v/>
      </c>
      <c r="K283" s="35" t="str">
        <f aca="true">IF(OR(A283="",D283="Выполнено"),"",IF(F283="",IF(AND(G283&lt;&gt;"",G283&lt;&gt;"Разово"),"↻ "&amp;G283,""),IF(F283&lt;TODAY(),"Просрочено на "&amp;(TODAY()-F283)&amp;" дн.",IF(F283=TODAY(),"Сегодня",IF(F283=TODAY()+1,"Завтра","Через "&amp;(F283-TODAY())&amp;" дн.")))))</f>
        <v/>
      </c>
      <c r="L283" s="0" t="str">
        <f aca="true">IF(J283="","",(IF(AND(F283&lt;&gt;"",F283&lt;TODAY()),0,1)*10000000+IFERROR(MATCH(C283,{"Срочно","Высокий","Средний","Низкий"},0),5)*100000+IF(F283="",99999,F283))*1000+ROW())</f>
        <v/>
      </c>
      <c r="M283" s="0" t="str">
        <f aca="false">IF(AND($J283="Срочные",OR(Главная!$F$6="Все",$B283=Главная!$F$6),OR(Главная!$F$7="Все",$C283=Главная!$F$7)),$L283,"")</f>
        <v/>
      </c>
      <c r="N283" s="0" t="str">
        <f aca="false">IF(AND($J283="Текущие",OR(Главная!$F$6="Все",$B283=Главная!$F$6),OR(Главная!$F$7="Все",$C283=Главная!$F$7)),$L283,"")</f>
        <v/>
      </c>
      <c r="O283" s="0" t="str">
        <f aca="false">IF(AND($J283="Плановые",OR(Главная!$F$6="Все",$B283=Главная!$F$6),OR(Главная!$F$7="Все",$C283=Главная!$F$7)),$L283,"")</f>
        <v/>
      </c>
      <c r="P283" s="0" t="str">
        <f aca="false">IF(J283="Выполнено",ROW(),"")</f>
        <v/>
      </c>
    </row>
    <row r="284" customFormat="false" ht="21.75" hidden="false" customHeight="true" outlineLevel="0" collapsed="false">
      <c r="A284" s="31"/>
      <c r="B284" s="31"/>
      <c r="C284" s="32"/>
      <c r="D284" s="32"/>
      <c r="E284" s="33"/>
      <c r="F284" s="33"/>
      <c r="G284" s="32"/>
      <c r="H284" s="32"/>
      <c r="I284" s="31"/>
      <c r="J284" s="34" t="str">
        <f aca="true">IF(TRIM(A284)="","",IF(D284="Выполнено","Выполнено",IF(OR(C284="Срочно",AND(F284&lt;&gt;"",F284&lt;=TODAY())),"Срочные",IF(OR(D284="Отложено",C284="Низкий",AND(F284&lt;&gt;"",F284&gt;TODAY()+Справочники!$H$2)),"Плановые","Текущие"))))</f>
        <v/>
      </c>
      <c r="K284" s="35" t="str">
        <f aca="true">IF(OR(A284="",D284="Выполнено"),"",IF(F284="",IF(AND(G284&lt;&gt;"",G284&lt;&gt;"Разово"),"↻ "&amp;G284,""),IF(F284&lt;TODAY(),"Просрочено на "&amp;(TODAY()-F284)&amp;" дн.",IF(F284=TODAY(),"Сегодня",IF(F284=TODAY()+1,"Завтра","Через "&amp;(F284-TODAY())&amp;" дн.")))))</f>
        <v/>
      </c>
      <c r="L284" s="0" t="str">
        <f aca="true">IF(J284="","",(IF(AND(F284&lt;&gt;"",F284&lt;TODAY()),0,1)*10000000+IFERROR(MATCH(C284,{"Срочно","Высокий","Средний","Низкий"},0),5)*100000+IF(F284="",99999,F284))*1000+ROW())</f>
        <v/>
      </c>
      <c r="M284" s="0" t="str">
        <f aca="false">IF(AND($J284="Срочные",OR(Главная!$F$6="Все",$B284=Главная!$F$6),OR(Главная!$F$7="Все",$C284=Главная!$F$7)),$L284,"")</f>
        <v/>
      </c>
      <c r="N284" s="0" t="str">
        <f aca="false">IF(AND($J284="Текущие",OR(Главная!$F$6="Все",$B284=Главная!$F$6),OR(Главная!$F$7="Все",$C284=Главная!$F$7)),$L284,"")</f>
        <v/>
      </c>
      <c r="O284" s="0" t="str">
        <f aca="false">IF(AND($J284="Плановые",OR(Главная!$F$6="Все",$B284=Главная!$F$6),OR(Главная!$F$7="Все",$C284=Главная!$F$7)),$L284,"")</f>
        <v/>
      </c>
      <c r="P284" s="0" t="str">
        <f aca="false">IF(J284="Выполнено",ROW(),"")</f>
        <v/>
      </c>
    </row>
    <row r="285" customFormat="false" ht="21.75" hidden="false" customHeight="true" outlineLevel="0" collapsed="false">
      <c r="A285" s="31"/>
      <c r="B285" s="31"/>
      <c r="C285" s="32"/>
      <c r="D285" s="32"/>
      <c r="E285" s="33"/>
      <c r="F285" s="33"/>
      <c r="G285" s="32"/>
      <c r="H285" s="32"/>
      <c r="I285" s="31"/>
      <c r="J285" s="34" t="str">
        <f aca="true">IF(TRIM(A285)="","",IF(D285="Выполнено","Выполнено",IF(OR(C285="Срочно",AND(F285&lt;&gt;"",F285&lt;=TODAY())),"Срочные",IF(OR(D285="Отложено",C285="Низкий",AND(F285&lt;&gt;"",F285&gt;TODAY()+Справочники!$H$2)),"Плановые","Текущие"))))</f>
        <v/>
      </c>
      <c r="K285" s="35" t="str">
        <f aca="true">IF(OR(A285="",D285="Выполнено"),"",IF(F285="",IF(AND(G285&lt;&gt;"",G285&lt;&gt;"Разово"),"↻ "&amp;G285,""),IF(F285&lt;TODAY(),"Просрочено на "&amp;(TODAY()-F285)&amp;" дн.",IF(F285=TODAY(),"Сегодня",IF(F285=TODAY()+1,"Завтра","Через "&amp;(F285-TODAY())&amp;" дн.")))))</f>
        <v/>
      </c>
      <c r="L285" s="0" t="str">
        <f aca="true">IF(J285="","",(IF(AND(F285&lt;&gt;"",F285&lt;TODAY()),0,1)*10000000+IFERROR(MATCH(C285,{"Срочно","Высокий","Средний","Низкий"},0),5)*100000+IF(F285="",99999,F285))*1000+ROW())</f>
        <v/>
      </c>
      <c r="M285" s="0" t="str">
        <f aca="false">IF(AND($J285="Срочные",OR(Главная!$F$6="Все",$B285=Главная!$F$6),OR(Главная!$F$7="Все",$C285=Главная!$F$7)),$L285,"")</f>
        <v/>
      </c>
      <c r="N285" s="0" t="str">
        <f aca="false">IF(AND($J285="Текущие",OR(Главная!$F$6="Все",$B285=Главная!$F$6),OR(Главная!$F$7="Все",$C285=Главная!$F$7)),$L285,"")</f>
        <v/>
      </c>
      <c r="O285" s="0" t="str">
        <f aca="false">IF(AND($J285="Плановые",OR(Главная!$F$6="Все",$B285=Главная!$F$6),OR(Главная!$F$7="Все",$C285=Главная!$F$7)),$L285,"")</f>
        <v/>
      </c>
      <c r="P285" s="0" t="str">
        <f aca="false">IF(J285="Выполнено",ROW(),"")</f>
        <v/>
      </c>
    </row>
    <row r="286" customFormat="false" ht="21.75" hidden="false" customHeight="true" outlineLevel="0" collapsed="false">
      <c r="A286" s="31"/>
      <c r="B286" s="31"/>
      <c r="C286" s="32"/>
      <c r="D286" s="32"/>
      <c r="E286" s="33"/>
      <c r="F286" s="33"/>
      <c r="G286" s="32"/>
      <c r="H286" s="32"/>
      <c r="I286" s="31"/>
      <c r="J286" s="34" t="str">
        <f aca="true">IF(TRIM(A286)="","",IF(D286="Выполнено","Выполнено",IF(OR(C286="Срочно",AND(F286&lt;&gt;"",F286&lt;=TODAY())),"Срочные",IF(OR(D286="Отложено",C286="Низкий",AND(F286&lt;&gt;"",F286&gt;TODAY()+Справочники!$H$2)),"Плановые","Текущие"))))</f>
        <v/>
      </c>
      <c r="K286" s="35" t="str">
        <f aca="true">IF(OR(A286="",D286="Выполнено"),"",IF(F286="",IF(AND(G286&lt;&gt;"",G286&lt;&gt;"Разово"),"↻ "&amp;G286,""),IF(F286&lt;TODAY(),"Просрочено на "&amp;(TODAY()-F286)&amp;" дн.",IF(F286=TODAY(),"Сегодня",IF(F286=TODAY()+1,"Завтра","Через "&amp;(F286-TODAY())&amp;" дн.")))))</f>
        <v/>
      </c>
      <c r="L286" s="0" t="str">
        <f aca="true">IF(J286="","",(IF(AND(F286&lt;&gt;"",F286&lt;TODAY()),0,1)*10000000+IFERROR(MATCH(C286,{"Срочно","Высокий","Средний","Низкий"},0),5)*100000+IF(F286="",99999,F286))*1000+ROW())</f>
        <v/>
      </c>
      <c r="M286" s="0" t="str">
        <f aca="false">IF(AND($J286="Срочные",OR(Главная!$F$6="Все",$B286=Главная!$F$6),OR(Главная!$F$7="Все",$C286=Главная!$F$7)),$L286,"")</f>
        <v/>
      </c>
      <c r="N286" s="0" t="str">
        <f aca="false">IF(AND($J286="Текущие",OR(Главная!$F$6="Все",$B286=Главная!$F$6),OR(Главная!$F$7="Все",$C286=Главная!$F$7)),$L286,"")</f>
        <v/>
      </c>
      <c r="O286" s="0" t="str">
        <f aca="false">IF(AND($J286="Плановые",OR(Главная!$F$6="Все",$B286=Главная!$F$6),OR(Главная!$F$7="Все",$C286=Главная!$F$7)),$L286,"")</f>
        <v/>
      </c>
      <c r="P286" s="0" t="str">
        <f aca="false">IF(J286="Выполнено",ROW(),"")</f>
        <v/>
      </c>
    </row>
    <row r="287" customFormat="false" ht="21.75" hidden="false" customHeight="true" outlineLevel="0" collapsed="false">
      <c r="A287" s="31"/>
      <c r="B287" s="31"/>
      <c r="C287" s="32"/>
      <c r="D287" s="32"/>
      <c r="E287" s="33"/>
      <c r="F287" s="33"/>
      <c r="G287" s="32"/>
      <c r="H287" s="32"/>
      <c r="I287" s="31"/>
      <c r="J287" s="34" t="str">
        <f aca="true">IF(TRIM(A287)="","",IF(D287="Выполнено","Выполнено",IF(OR(C287="Срочно",AND(F287&lt;&gt;"",F287&lt;=TODAY())),"Срочные",IF(OR(D287="Отложено",C287="Низкий",AND(F287&lt;&gt;"",F287&gt;TODAY()+Справочники!$H$2)),"Плановые","Текущие"))))</f>
        <v/>
      </c>
      <c r="K287" s="35" t="str">
        <f aca="true">IF(OR(A287="",D287="Выполнено"),"",IF(F287="",IF(AND(G287&lt;&gt;"",G287&lt;&gt;"Разово"),"↻ "&amp;G287,""),IF(F287&lt;TODAY(),"Просрочено на "&amp;(TODAY()-F287)&amp;" дн.",IF(F287=TODAY(),"Сегодня",IF(F287=TODAY()+1,"Завтра","Через "&amp;(F287-TODAY())&amp;" дн.")))))</f>
        <v/>
      </c>
      <c r="L287" s="0" t="str">
        <f aca="true">IF(J287="","",(IF(AND(F287&lt;&gt;"",F287&lt;TODAY()),0,1)*10000000+IFERROR(MATCH(C287,{"Срочно","Высокий","Средний","Низкий"},0),5)*100000+IF(F287="",99999,F287))*1000+ROW())</f>
        <v/>
      </c>
      <c r="M287" s="0" t="str">
        <f aca="false">IF(AND($J287="Срочные",OR(Главная!$F$6="Все",$B287=Главная!$F$6),OR(Главная!$F$7="Все",$C287=Главная!$F$7)),$L287,"")</f>
        <v/>
      </c>
      <c r="N287" s="0" t="str">
        <f aca="false">IF(AND($J287="Текущие",OR(Главная!$F$6="Все",$B287=Главная!$F$6),OR(Главная!$F$7="Все",$C287=Главная!$F$7)),$L287,"")</f>
        <v/>
      </c>
      <c r="O287" s="0" t="str">
        <f aca="false">IF(AND($J287="Плановые",OR(Главная!$F$6="Все",$B287=Главная!$F$6),OR(Главная!$F$7="Все",$C287=Главная!$F$7)),$L287,"")</f>
        <v/>
      </c>
      <c r="P287" s="0" t="str">
        <f aca="false">IF(J287="Выполнено",ROW(),"")</f>
        <v/>
      </c>
    </row>
    <row r="288" customFormat="false" ht="21.75" hidden="false" customHeight="true" outlineLevel="0" collapsed="false">
      <c r="A288" s="31"/>
      <c r="B288" s="31"/>
      <c r="C288" s="32"/>
      <c r="D288" s="32"/>
      <c r="E288" s="33"/>
      <c r="F288" s="33"/>
      <c r="G288" s="32"/>
      <c r="H288" s="32"/>
      <c r="I288" s="31"/>
      <c r="J288" s="34" t="str">
        <f aca="true">IF(TRIM(A288)="","",IF(D288="Выполнено","Выполнено",IF(OR(C288="Срочно",AND(F288&lt;&gt;"",F288&lt;=TODAY())),"Срочные",IF(OR(D288="Отложено",C288="Низкий",AND(F288&lt;&gt;"",F288&gt;TODAY()+Справочники!$H$2)),"Плановые","Текущие"))))</f>
        <v/>
      </c>
      <c r="K288" s="35" t="str">
        <f aca="true">IF(OR(A288="",D288="Выполнено"),"",IF(F288="",IF(AND(G288&lt;&gt;"",G288&lt;&gt;"Разово"),"↻ "&amp;G288,""),IF(F288&lt;TODAY(),"Просрочено на "&amp;(TODAY()-F288)&amp;" дн.",IF(F288=TODAY(),"Сегодня",IF(F288=TODAY()+1,"Завтра","Через "&amp;(F288-TODAY())&amp;" дн.")))))</f>
        <v/>
      </c>
      <c r="L288" s="0" t="str">
        <f aca="true">IF(J288="","",(IF(AND(F288&lt;&gt;"",F288&lt;TODAY()),0,1)*10000000+IFERROR(MATCH(C288,{"Срочно","Высокий","Средний","Низкий"},0),5)*100000+IF(F288="",99999,F288))*1000+ROW())</f>
        <v/>
      </c>
      <c r="M288" s="0" t="str">
        <f aca="false">IF(AND($J288="Срочные",OR(Главная!$F$6="Все",$B288=Главная!$F$6),OR(Главная!$F$7="Все",$C288=Главная!$F$7)),$L288,"")</f>
        <v/>
      </c>
      <c r="N288" s="0" t="str">
        <f aca="false">IF(AND($J288="Текущие",OR(Главная!$F$6="Все",$B288=Главная!$F$6),OR(Главная!$F$7="Все",$C288=Главная!$F$7)),$L288,"")</f>
        <v/>
      </c>
      <c r="O288" s="0" t="str">
        <f aca="false">IF(AND($J288="Плановые",OR(Главная!$F$6="Все",$B288=Главная!$F$6),OR(Главная!$F$7="Все",$C288=Главная!$F$7)),$L288,"")</f>
        <v/>
      </c>
      <c r="P288" s="0" t="str">
        <f aca="false">IF(J288="Выполнено",ROW(),"")</f>
        <v/>
      </c>
    </row>
    <row r="289" customFormat="false" ht="21.75" hidden="false" customHeight="true" outlineLevel="0" collapsed="false">
      <c r="A289" s="31"/>
      <c r="B289" s="31"/>
      <c r="C289" s="32"/>
      <c r="D289" s="32"/>
      <c r="E289" s="33"/>
      <c r="F289" s="33"/>
      <c r="G289" s="32"/>
      <c r="H289" s="32"/>
      <c r="I289" s="31"/>
      <c r="J289" s="34" t="str">
        <f aca="true">IF(TRIM(A289)="","",IF(D289="Выполнено","Выполнено",IF(OR(C289="Срочно",AND(F289&lt;&gt;"",F289&lt;=TODAY())),"Срочные",IF(OR(D289="Отложено",C289="Низкий",AND(F289&lt;&gt;"",F289&gt;TODAY()+Справочники!$H$2)),"Плановые","Текущие"))))</f>
        <v/>
      </c>
      <c r="K289" s="35" t="str">
        <f aca="true">IF(OR(A289="",D289="Выполнено"),"",IF(F289="",IF(AND(G289&lt;&gt;"",G289&lt;&gt;"Разово"),"↻ "&amp;G289,""),IF(F289&lt;TODAY(),"Просрочено на "&amp;(TODAY()-F289)&amp;" дн.",IF(F289=TODAY(),"Сегодня",IF(F289=TODAY()+1,"Завтра","Через "&amp;(F289-TODAY())&amp;" дн.")))))</f>
        <v/>
      </c>
      <c r="L289" s="0" t="str">
        <f aca="true">IF(J289="","",(IF(AND(F289&lt;&gt;"",F289&lt;TODAY()),0,1)*10000000+IFERROR(MATCH(C289,{"Срочно","Высокий","Средний","Низкий"},0),5)*100000+IF(F289="",99999,F289))*1000+ROW())</f>
        <v/>
      </c>
      <c r="M289" s="0" t="str">
        <f aca="false">IF(AND($J289="Срочные",OR(Главная!$F$6="Все",$B289=Главная!$F$6),OR(Главная!$F$7="Все",$C289=Главная!$F$7)),$L289,"")</f>
        <v/>
      </c>
      <c r="N289" s="0" t="str">
        <f aca="false">IF(AND($J289="Текущие",OR(Главная!$F$6="Все",$B289=Главная!$F$6),OR(Главная!$F$7="Все",$C289=Главная!$F$7)),$L289,"")</f>
        <v/>
      </c>
      <c r="O289" s="0" t="str">
        <f aca="false">IF(AND($J289="Плановые",OR(Главная!$F$6="Все",$B289=Главная!$F$6),OR(Главная!$F$7="Все",$C289=Главная!$F$7)),$L289,"")</f>
        <v/>
      </c>
      <c r="P289" s="0" t="str">
        <f aca="false">IF(J289="Выполнено",ROW(),"")</f>
        <v/>
      </c>
    </row>
    <row r="290" customFormat="false" ht="21.75" hidden="false" customHeight="true" outlineLevel="0" collapsed="false">
      <c r="A290" s="31"/>
      <c r="B290" s="31"/>
      <c r="C290" s="32"/>
      <c r="D290" s="32"/>
      <c r="E290" s="33"/>
      <c r="F290" s="33"/>
      <c r="G290" s="32"/>
      <c r="H290" s="32"/>
      <c r="I290" s="31"/>
      <c r="J290" s="34" t="str">
        <f aca="true">IF(TRIM(A290)="","",IF(D290="Выполнено","Выполнено",IF(OR(C290="Срочно",AND(F290&lt;&gt;"",F290&lt;=TODAY())),"Срочные",IF(OR(D290="Отложено",C290="Низкий",AND(F290&lt;&gt;"",F290&gt;TODAY()+Справочники!$H$2)),"Плановые","Текущие"))))</f>
        <v/>
      </c>
      <c r="K290" s="35" t="str">
        <f aca="true">IF(OR(A290="",D290="Выполнено"),"",IF(F290="",IF(AND(G290&lt;&gt;"",G290&lt;&gt;"Разово"),"↻ "&amp;G290,""),IF(F290&lt;TODAY(),"Просрочено на "&amp;(TODAY()-F290)&amp;" дн.",IF(F290=TODAY(),"Сегодня",IF(F290=TODAY()+1,"Завтра","Через "&amp;(F290-TODAY())&amp;" дн.")))))</f>
        <v/>
      </c>
      <c r="L290" s="0" t="str">
        <f aca="true">IF(J290="","",(IF(AND(F290&lt;&gt;"",F290&lt;TODAY()),0,1)*10000000+IFERROR(MATCH(C290,{"Срочно","Высокий","Средний","Низкий"},0),5)*100000+IF(F290="",99999,F290))*1000+ROW())</f>
        <v/>
      </c>
      <c r="M290" s="0" t="str">
        <f aca="false">IF(AND($J290="Срочные",OR(Главная!$F$6="Все",$B290=Главная!$F$6),OR(Главная!$F$7="Все",$C290=Главная!$F$7)),$L290,"")</f>
        <v/>
      </c>
      <c r="N290" s="0" t="str">
        <f aca="false">IF(AND($J290="Текущие",OR(Главная!$F$6="Все",$B290=Главная!$F$6),OR(Главная!$F$7="Все",$C290=Главная!$F$7)),$L290,"")</f>
        <v/>
      </c>
      <c r="O290" s="0" t="str">
        <f aca="false">IF(AND($J290="Плановые",OR(Главная!$F$6="Все",$B290=Главная!$F$6),OR(Главная!$F$7="Все",$C290=Главная!$F$7)),$L290,"")</f>
        <v/>
      </c>
      <c r="P290" s="0" t="str">
        <f aca="false">IF(J290="Выполнено",ROW(),"")</f>
        <v/>
      </c>
    </row>
    <row r="291" customFormat="false" ht="21.75" hidden="false" customHeight="true" outlineLevel="0" collapsed="false">
      <c r="A291" s="31"/>
      <c r="B291" s="31"/>
      <c r="C291" s="32"/>
      <c r="D291" s="32"/>
      <c r="E291" s="33"/>
      <c r="F291" s="33"/>
      <c r="G291" s="32"/>
      <c r="H291" s="32"/>
      <c r="I291" s="31"/>
      <c r="J291" s="34" t="str">
        <f aca="true">IF(TRIM(A291)="","",IF(D291="Выполнено","Выполнено",IF(OR(C291="Срочно",AND(F291&lt;&gt;"",F291&lt;=TODAY())),"Срочные",IF(OR(D291="Отложено",C291="Низкий",AND(F291&lt;&gt;"",F291&gt;TODAY()+Справочники!$H$2)),"Плановые","Текущие"))))</f>
        <v/>
      </c>
      <c r="K291" s="35" t="str">
        <f aca="true">IF(OR(A291="",D291="Выполнено"),"",IF(F291="",IF(AND(G291&lt;&gt;"",G291&lt;&gt;"Разово"),"↻ "&amp;G291,""),IF(F291&lt;TODAY(),"Просрочено на "&amp;(TODAY()-F291)&amp;" дн.",IF(F291=TODAY(),"Сегодня",IF(F291=TODAY()+1,"Завтра","Через "&amp;(F291-TODAY())&amp;" дн.")))))</f>
        <v/>
      </c>
      <c r="L291" s="0" t="str">
        <f aca="true">IF(J291="","",(IF(AND(F291&lt;&gt;"",F291&lt;TODAY()),0,1)*10000000+IFERROR(MATCH(C291,{"Срочно","Высокий","Средний","Низкий"},0),5)*100000+IF(F291="",99999,F291))*1000+ROW())</f>
        <v/>
      </c>
      <c r="M291" s="0" t="str">
        <f aca="false">IF(AND($J291="Срочные",OR(Главная!$F$6="Все",$B291=Главная!$F$6),OR(Главная!$F$7="Все",$C291=Главная!$F$7)),$L291,"")</f>
        <v/>
      </c>
      <c r="N291" s="0" t="str">
        <f aca="false">IF(AND($J291="Текущие",OR(Главная!$F$6="Все",$B291=Главная!$F$6),OR(Главная!$F$7="Все",$C291=Главная!$F$7)),$L291,"")</f>
        <v/>
      </c>
      <c r="O291" s="0" t="str">
        <f aca="false">IF(AND($J291="Плановые",OR(Главная!$F$6="Все",$B291=Главная!$F$6),OR(Главная!$F$7="Все",$C291=Главная!$F$7)),$L291,"")</f>
        <v/>
      </c>
      <c r="P291" s="0" t="str">
        <f aca="false">IF(J291="Выполнено",ROW(),"")</f>
        <v/>
      </c>
    </row>
    <row r="292" customFormat="false" ht="21.75" hidden="false" customHeight="true" outlineLevel="0" collapsed="false">
      <c r="A292" s="31"/>
      <c r="B292" s="31"/>
      <c r="C292" s="32"/>
      <c r="D292" s="32"/>
      <c r="E292" s="33"/>
      <c r="F292" s="33"/>
      <c r="G292" s="32"/>
      <c r="H292" s="32"/>
      <c r="I292" s="31"/>
      <c r="J292" s="34" t="str">
        <f aca="true">IF(TRIM(A292)="","",IF(D292="Выполнено","Выполнено",IF(OR(C292="Срочно",AND(F292&lt;&gt;"",F292&lt;=TODAY())),"Срочные",IF(OR(D292="Отложено",C292="Низкий",AND(F292&lt;&gt;"",F292&gt;TODAY()+Справочники!$H$2)),"Плановые","Текущие"))))</f>
        <v/>
      </c>
      <c r="K292" s="35" t="str">
        <f aca="true">IF(OR(A292="",D292="Выполнено"),"",IF(F292="",IF(AND(G292&lt;&gt;"",G292&lt;&gt;"Разово"),"↻ "&amp;G292,""),IF(F292&lt;TODAY(),"Просрочено на "&amp;(TODAY()-F292)&amp;" дн.",IF(F292=TODAY(),"Сегодня",IF(F292=TODAY()+1,"Завтра","Через "&amp;(F292-TODAY())&amp;" дн.")))))</f>
        <v/>
      </c>
      <c r="L292" s="0" t="str">
        <f aca="true">IF(J292="","",(IF(AND(F292&lt;&gt;"",F292&lt;TODAY()),0,1)*10000000+IFERROR(MATCH(C292,{"Срочно","Высокий","Средний","Низкий"},0),5)*100000+IF(F292="",99999,F292))*1000+ROW())</f>
        <v/>
      </c>
      <c r="M292" s="0" t="str">
        <f aca="false">IF(AND($J292="Срочные",OR(Главная!$F$6="Все",$B292=Главная!$F$6),OR(Главная!$F$7="Все",$C292=Главная!$F$7)),$L292,"")</f>
        <v/>
      </c>
      <c r="N292" s="0" t="str">
        <f aca="false">IF(AND($J292="Текущие",OR(Главная!$F$6="Все",$B292=Главная!$F$6),OR(Главная!$F$7="Все",$C292=Главная!$F$7)),$L292,"")</f>
        <v/>
      </c>
      <c r="O292" s="0" t="str">
        <f aca="false">IF(AND($J292="Плановые",OR(Главная!$F$6="Все",$B292=Главная!$F$6),OR(Главная!$F$7="Все",$C292=Главная!$F$7)),$L292,"")</f>
        <v/>
      </c>
      <c r="P292" s="0" t="str">
        <f aca="false">IF(J292="Выполнено",ROW(),"")</f>
        <v/>
      </c>
    </row>
    <row r="293" customFormat="false" ht="21.75" hidden="false" customHeight="true" outlineLevel="0" collapsed="false">
      <c r="A293" s="31"/>
      <c r="B293" s="31"/>
      <c r="C293" s="32"/>
      <c r="D293" s="32"/>
      <c r="E293" s="33"/>
      <c r="F293" s="33"/>
      <c r="G293" s="32"/>
      <c r="H293" s="32"/>
      <c r="I293" s="31"/>
      <c r="J293" s="34" t="str">
        <f aca="true">IF(TRIM(A293)="","",IF(D293="Выполнено","Выполнено",IF(OR(C293="Срочно",AND(F293&lt;&gt;"",F293&lt;=TODAY())),"Срочные",IF(OR(D293="Отложено",C293="Низкий",AND(F293&lt;&gt;"",F293&gt;TODAY()+Справочники!$H$2)),"Плановые","Текущие"))))</f>
        <v/>
      </c>
      <c r="K293" s="35" t="str">
        <f aca="true">IF(OR(A293="",D293="Выполнено"),"",IF(F293="",IF(AND(G293&lt;&gt;"",G293&lt;&gt;"Разово"),"↻ "&amp;G293,""),IF(F293&lt;TODAY(),"Просрочено на "&amp;(TODAY()-F293)&amp;" дн.",IF(F293=TODAY(),"Сегодня",IF(F293=TODAY()+1,"Завтра","Через "&amp;(F293-TODAY())&amp;" дн.")))))</f>
        <v/>
      </c>
      <c r="L293" s="0" t="str">
        <f aca="true">IF(J293="","",(IF(AND(F293&lt;&gt;"",F293&lt;TODAY()),0,1)*10000000+IFERROR(MATCH(C293,{"Срочно","Высокий","Средний","Низкий"},0),5)*100000+IF(F293="",99999,F293))*1000+ROW())</f>
        <v/>
      </c>
      <c r="M293" s="0" t="str">
        <f aca="false">IF(AND($J293="Срочные",OR(Главная!$F$6="Все",$B293=Главная!$F$6),OR(Главная!$F$7="Все",$C293=Главная!$F$7)),$L293,"")</f>
        <v/>
      </c>
      <c r="N293" s="0" t="str">
        <f aca="false">IF(AND($J293="Текущие",OR(Главная!$F$6="Все",$B293=Главная!$F$6),OR(Главная!$F$7="Все",$C293=Главная!$F$7)),$L293,"")</f>
        <v/>
      </c>
      <c r="O293" s="0" t="str">
        <f aca="false">IF(AND($J293="Плановые",OR(Главная!$F$6="Все",$B293=Главная!$F$6),OR(Главная!$F$7="Все",$C293=Главная!$F$7)),$L293,"")</f>
        <v/>
      </c>
      <c r="P293" s="0" t="str">
        <f aca="false">IF(J293="Выполнено",ROW(),"")</f>
        <v/>
      </c>
    </row>
    <row r="294" customFormat="false" ht="21.75" hidden="false" customHeight="true" outlineLevel="0" collapsed="false">
      <c r="A294" s="31"/>
      <c r="B294" s="31"/>
      <c r="C294" s="32"/>
      <c r="D294" s="32"/>
      <c r="E294" s="33"/>
      <c r="F294" s="33"/>
      <c r="G294" s="32"/>
      <c r="H294" s="32"/>
      <c r="I294" s="31"/>
      <c r="J294" s="34" t="str">
        <f aca="true">IF(TRIM(A294)="","",IF(D294="Выполнено","Выполнено",IF(OR(C294="Срочно",AND(F294&lt;&gt;"",F294&lt;=TODAY())),"Срочные",IF(OR(D294="Отложено",C294="Низкий",AND(F294&lt;&gt;"",F294&gt;TODAY()+Справочники!$H$2)),"Плановые","Текущие"))))</f>
        <v/>
      </c>
      <c r="K294" s="35" t="str">
        <f aca="true">IF(OR(A294="",D294="Выполнено"),"",IF(F294="",IF(AND(G294&lt;&gt;"",G294&lt;&gt;"Разово"),"↻ "&amp;G294,""),IF(F294&lt;TODAY(),"Просрочено на "&amp;(TODAY()-F294)&amp;" дн.",IF(F294=TODAY(),"Сегодня",IF(F294=TODAY()+1,"Завтра","Через "&amp;(F294-TODAY())&amp;" дн.")))))</f>
        <v/>
      </c>
      <c r="L294" s="0" t="str">
        <f aca="true">IF(J294="","",(IF(AND(F294&lt;&gt;"",F294&lt;TODAY()),0,1)*10000000+IFERROR(MATCH(C294,{"Срочно","Высокий","Средний","Низкий"},0),5)*100000+IF(F294="",99999,F294))*1000+ROW())</f>
        <v/>
      </c>
      <c r="M294" s="0" t="str">
        <f aca="false">IF(AND($J294="Срочные",OR(Главная!$F$6="Все",$B294=Главная!$F$6),OR(Главная!$F$7="Все",$C294=Главная!$F$7)),$L294,"")</f>
        <v/>
      </c>
      <c r="N294" s="0" t="str">
        <f aca="false">IF(AND($J294="Текущие",OR(Главная!$F$6="Все",$B294=Главная!$F$6),OR(Главная!$F$7="Все",$C294=Главная!$F$7)),$L294,"")</f>
        <v/>
      </c>
      <c r="O294" s="0" t="str">
        <f aca="false">IF(AND($J294="Плановые",OR(Главная!$F$6="Все",$B294=Главная!$F$6),OR(Главная!$F$7="Все",$C294=Главная!$F$7)),$L294,"")</f>
        <v/>
      </c>
      <c r="P294" s="0" t="str">
        <f aca="false">IF(J294="Выполнено",ROW(),"")</f>
        <v/>
      </c>
    </row>
    <row r="295" customFormat="false" ht="21.75" hidden="false" customHeight="true" outlineLevel="0" collapsed="false">
      <c r="A295" s="31"/>
      <c r="B295" s="31"/>
      <c r="C295" s="32"/>
      <c r="D295" s="32"/>
      <c r="E295" s="33"/>
      <c r="F295" s="33"/>
      <c r="G295" s="32"/>
      <c r="H295" s="32"/>
      <c r="I295" s="31"/>
      <c r="J295" s="34" t="str">
        <f aca="true">IF(TRIM(A295)="","",IF(D295="Выполнено","Выполнено",IF(OR(C295="Срочно",AND(F295&lt;&gt;"",F295&lt;=TODAY())),"Срочные",IF(OR(D295="Отложено",C295="Низкий",AND(F295&lt;&gt;"",F295&gt;TODAY()+Справочники!$H$2)),"Плановые","Текущие"))))</f>
        <v/>
      </c>
      <c r="K295" s="35" t="str">
        <f aca="true">IF(OR(A295="",D295="Выполнено"),"",IF(F295="",IF(AND(G295&lt;&gt;"",G295&lt;&gt;"Разово"),"↻ "&amp;G295,""),IF(F295&lt;TODAY(),"Просрочено на "&amp;(TODAY()-F295)&amp;" дн.",IF(F295=TODAY(),"Сегодня",IF(F295=TODAY()+1,"Завтра","Через "&amp;(F295-TODAY())&amp;" дн.")))))</f>
        <v/>
      </c>
      <c r="L295" s="0" t="str">
        <f aca="true">IF(J295="","",(IF(AND(F295&lt;&gt;"",F295&lt;TODAY()),0,1)*10000000+IFERROR(MATCH(C295,{"Срочно","Высокий","Средний","Низкий"},0),5)*100000+IF(F295="",99999,F295))*1000+ROW())</f>
        <v/>
      </c>
      <c r="M295" s="0" t="str">
        <f aca="false">IF(AND($J295="Срочные",OR(Главная!$F$6="Все",$B295=Главная!$F$6),OR(Главная!$F$7="Все",$C295=Главная!$F$7)),$L295,"")</f>
        <v/>
      </c>
      <c r="N295" s="0" t="str">
        <f aca="false">IF(AND($J295="Текущие",OR(Главная!$F$6="Все",$B295=Главная!$F$6),OR(Главная!$F$7="Все",$C295=Главная!$F$7)),$L295,"")</f>
        <v/>
      </c>
      <c r="O295" s="0" t="str">
        <f aca="false">IF(AND($J295="Плановые",OR(Главная!$F$6="Все",$B295=Главная!$F$6),OR(Главная!$F$7="Все",$C295=Главная!$F$7)),$L295,"")</f>
        <v/>
      </c>
      <c r="P295" s="0" t="str">
        <f aca="false">IF(J295="Выполнено",ROW(),"")</f>
        <v/>
      </c>
    </row>
    <row r="296" customFormat="false" ht="21.75" hidden="false" customHeight="true" outlineLevel="0" collapsed="false">
      <c r="A296" s="31"/>
      <c r="B296" s="31"/>
      <c r="C296" s="32"/>
      <c r="D296" s="32"/>
      <c r="E296" s="33"/>
      <c r="F296" s="33"/>
      <c r="G296" s="32"/>
      <c r="H296" s="32"/>
      <c r="I296" s="31"/>
      <c r="J296" s="34" t="str">
        <f aca="true">IF(TRIM(A296)="","",IF(D296="Выполнено","Выполнено",IF(OR(C296="Срочно",AND(F296&lt;&gt;"",F296&lt;=TODAY())),"Срочные",IF(OR(D296="Отложено",C296="Низкий",AND(F296&lt;&gt;"",F296&gt;TODAY()+Справочники!$H$2)),"Плановые","Текущие"))))</f>
        <v/>
      </c>
      <c r="K296" s="35" t="str">
        <f aca="true">IF(OR(A296="",D296="Выполнено"),"",IF(F296="",IF(AND(G296&lt;&gt;"",G296&lt;&gt;"Разово"),"↻ "&amp;G296,""),IF(F296&lt;TODAY(),"Просрочено на "&amp;(TODAY()-F296)&amp;" дн.",IF(F296=TODAY(),"Сегодня",IF(F296=TODAY()+1,"Завтра","Через "&amp;(F296-TODAY())&amp;" дн.")))))</f>
        <v/>
      </c>
      <c r="L296" s="0" t="str">
        <f aca="true">IF(J296="","",(IF(AND(F296&lt;&gt;"",F296&lt;TODAY()),0,1)*10000000+IFERROR(MATCH(C296,{"Срочно","Высокий","Средний","Низкий"},0),5)*100000+IF(F296="",99999,F296))*1000+ROW())</f>
        <v/>
      </c>
      <c r="M296" s="0" t="str">
        <f aca="false">IF(AND($J296="Срочные",OR(Главная!$F$6="Все",$B296=Главная!$F$6),OR(Главная!$F$7="Все",$C296=Главная!$F$7)),$L296,"")</f>
        <v/>
      </c>
      <c r="N296" s="0" t="str">
        <f aca="false">IF(AND($J296="Текущие",OR(Главная!$F$6="Все",$B296=Главная!$F$6),OR(Главная!$F$7="Все",$C296=Главная!$F$7)),$L296,"")</f>
        <v/>
      </c>
      <c r="O296" s="0" t="str">
        <f aca="false">IF(AND($J296="Плановые",OR(Главная!$F$6="Все",$B296=Главная!$F$6),OR(Главная!$F$7="Все",$C296=Главная!$F$7)),$L296,"")</f>
        <v/>
      </c>
      <c r="P296" s="0" t="str">
        <f aca="false">IF(J296="Выполнено",ROW(),"")</f>
        <v/>
      </c>
    </row>
    <row r="297" customFormat="false" ht="21.75" hidden="false" customHeight="true" outlineLevel="0" collapsed="false">
      <c r="A297" s="31"/>
      <c r="B297" s="31"/>
      <c r="C297" s="32"/>
      <c r="D297" s="32"/>
      <c r="E297" s="33"/>
      <c r="F297" s="33"/>
      <c r="G297" s="32"/>
      <c r="H297" s="32"/>
      <c r="I297" s="31"/>
      <c r="J297" s="34" t="str">
        <f aca="true">IF(TRIM(A297)="","",IF(D297="Выполнено","Выполнено",IF(OR(C297="Срочно",AND(F297&lt;&gt;"",F297&lt;=TODAY())),"Срочные",IF(OR(D297="Отложено",C297="Низкий",AND(F297&lt;&gt;"",F297&gt;TODAY()+Справочники!$H$2)),"Плановые","Текущие"))))</f>
        <v/>
      </c>
      <c r="K297" s="35" t="str">
        <f aca="true">IF(OR(A297="",D297="Выполнено"),"",IF(F297="",IF(AND(G297&lt;&gt;"",G297&lt;&gt;"Разово"),"↻ "&amp;G297,""),IF(F297&lt;TODAY(),"Просрочено на "&amp;(TODAY()-F297)&amp;" дн.",IF(F297=TODAY(),"Сегодня",IF(F297=TODAY()+1,"Завтра","Через "&amp;(F297-TODAY())&amp;" дн.")))))</f>
        <v/>
      </c>
      <c r="L297" s="0" t="str">
        <f aca="true">IF(J297="","",(IF(AND(F297&lt;&gt;"",F297&lt;TODAY()),0,1)*10000000+IFERROR(MATCH(C297,{"Срочно","Высокий","Средний","Низкий"},0),5)*100000+IF(F297="",99999,F297))*1000+ROW())</f>
        <v/>
      </c>
      <c r="M297" s="0" t="str">
        <f aca="false">IF(AND($J297="Срочные",OR(Главная!$F$6="Все",$B297=Главная!$F$6),OR(Главная!$F$7="Все",$C297=Главная!$F$7)),$L297,"")</f>
        <v/>
      </c>
      <c r="N297" s="0" t="str">
        <f aca="false">IF(AND($J297="Текущие",OR(Главная!$F$6="Все",$B297=Главная!$F$6),OR(Главная!$F$7="Все",$C297=Главная!$F$7)),$L297,"")</f>
        <v/>
      </c>
      <c r="O297" s="0" t="str">
        <f aca="false">IF(AND($J297="Плановые",OR(Главная!$F$6="Все",$B297=Главная!$F$6),OR(Главная!$F$7="Все",$C297=Главная!$F$7)),$L297,"")</f>
        <v/>
      </c>
      <c r="P297" s="0" t="str">
        <f aca="false">IF(J297="Выполнено",ROW(),"")</f>
        <v/>
      </c>
    </row>
    <row r="298" customFormat="false" ht="21.75" hidden="false" customHeight="true" outlineLevel="0" collapsed="false">
      <c r="A298" s="31"/>
      <c r="B298" s="31"/>
      <c r="C298" s="32"/>
      <c r="D298" s="32"/>
      <c r="E298" s="33"/>
      <c r="F298" s="33"/>
      <c r="G298" s="32"/>
      <c r="H298" s="32"/>
      <c r="I298" s="31"/>
      <c r="J298" s="34" t="str">
        <f aca="true">IF(TRIM(A298)="","",IF(D298="Выполнено","Выполнено",IF(OR(C298="Срочно",AND(F298&lt;&gt;"",F298&lt;=TODAY())),"Срочные",IF(OR(D298="Отложено",C298="Низкий",AND(F298&lt;&gt;"",F298&gt;TODAY()+Справочники!$H$2)),"Плановые","Текущие"))))</f>
        <v/>
      </c>
      <c r="K298" s="35" t="str">
        <f aca="true">IF(OR(A298="",D298="Выполнено"),"",IF(F298="",IF(AND(G298&lt;&gt;"",G298&lt;&gt;"Разово"),"↻ "&amp;G298,""),IF(F298&lt;TODAY(),"Просрочено на "&amp;(TODAY()-F298)&amp;" дн.",IF(F298=TODAY(),"Сегодня",IF(F298=TODAY()+1,"Завтра","Через "&amp;(F298-TODAY())&amp;" дн.")))))</f>
        <v/>
      </c>
      <c r="L298" s="0" t="str">
        <f aca="true">IF(J298="","",(IF(AND(F298&lt;&gt;"",F298&lt;TODAY()),0,1)*10000000+IFERROR(MATCH(C298,{"Срочно","Высокий","Средний","Низкий"},0),5)*100000+IF(F298="",99999,F298))*1000+ROW())</f>
        <v/>
      </c>
      <c r="M298" s="0" t="str">
        <f aca="false">IF(AND($J298="Срочные",OR(Главная!$F$6="Все",$B298=Главная!$F$6),OR(Главная!$F$7="Все",$C298=Главная!$F$7)),$L298,"")</f>
        <v/>
      </c>
      <c r="N298" s="0" t="str">
        <f aca="false">IF(AND($J298="Текущие",OR(Главная!$F$6="Все",$B298=Главная!$F$6),OR(Главная!$F$7="Все",$C298=Главная!$F$7)),$L298,"")</f>
        <v/>
      </c>
      <c r="O298" s="0" t="str">
        <f aca="false">IF(AND($J298="Плановые",OR(Главная!$F$6="Все",$B298=Главная!$F$6),OR(Главная!$F$7="Все",$C298=Главная!$F$7)),$L298,"")</f>
        <v/>
      </c>
      <c r="P298" s="0" t="str">
        <f aca="false">IF(J298="Выполнено",ROW(),"")</f>
        <v/>
      </c>
    </row>
    <row r="299" customFormat="false" ht="21.75" hidden="false" customHeight="true" outlineLevel="0" collapsed="false">
      <c r="A299" s="31"/>
      <c r="B299" s="31"/>
      <c r="C299" s="32"/>
      <c r="D299" s="32"/>
      <c r="E299" s="33"/>
      <c r="F299" s="33"/>
      <c r="G299" s="32"/>
      <c r="H299" s="32"/>
      <c r="I299" s="31"/>
      <c r="J299" s="34" t="str">
        <f aca="true">IF(TRIM(A299)="","",IF(D299="Выполнено","Выполнено",IF(OR(C299="Срочно",AND(F299&lt;&gt;"",F299&lt;=TODAY())),"Срочные",IF(OR(D299="Отложено",C299="Низкий",AND(F299&lt;&gt;"",F299&gt;TODAY()+Справочники!$H$2)),"Плановые","Текущие"))))</f>
        <v/>
      </c>
      <c r="K299" s="35" t="str">
        <f aca="true">IF(OR(A299="",D299="Выполнено"),"",IF(F299="",IF(AND(G299&lt;&gt;"",G299&lt;&gt;"Разово"),"↻ "&amp;G299,""),IF(F299&lt;TODAY(),"Просрочено на "&amp;(TODAY()-F299)&amp;" дн.",IF(F299=TODAY(),"Сегодня",IF(F299=TODAY()+1,"Завтра","Через "&amp;(F299-TODAY())&amp;" дн.")))))</f>
        <v/>
      </c>
      <c r="L299" s="0" t="str">
        <f aca="true">IF(J299="","",(IF(AND(F299&lt;&gt;"",F299&lt;TODAY()),0,1)*10000000+IFERROR(MATCH(C299,{"Срочно","Высокий","Средний","Низкий"},0),5)*100000+IF(F299="",99999,F299))*1000+ROW())</f>
        <v/>
      </c>
      <c r="M299" s="0" t="str">
        <f aca="false">IF(AND($J299="Срочные",OR(Главная!$F$6="Все",$B299=Главная!$F$6),OR(Главная!$F$7="Все",$C299=Главная!$F$7)),$L299,"")</f>
        <v/>
      </c>
      <c r="N299" s="0" t="str">
        <f aca="false">IF(AND($J299="Текущие",OR(Главная!$F$6="Все",$B299=Главная!$F$6),OR(Главная!$F$7="Все",$C299=Главная!$F$7)),$L299,"")</f>
        <v/>
      </c>
      <c r="O299" s="0" t="str">
        <f aca="false">IF(AND($J299="Плановые",OR(Главная!$F$6="Все",$B299=Главная!$F$6),OR(Главная!$F$7="Все",$C299=Главная!$F$7)),$L299,"")</f>
        <v/>
      </c>
      <c r="P299" s="0" t="str">
        <f aca="false">IF(J299="Выполнено",ROW(),"")</f>
        <v/>
      </c>
    </row>
    <row r="300" customFormat="false" ht="21.75" hidden="false" customHeight="true" outlineLevel="0" collapsed="false">
      <c r="A300" s="31"/>
      <c r="B300" s="31"/>
      <c r="C300" s="32"/>
      <c r="D300" s="32"/>
      <c r="E300" s="33"/>
      <c r="F300" s="33"/>
      <c r="G300" s="32"/>
      <c r="H300" s="32"/>
      <c r="I300" s="31"/>
      <c r="J300" s="34" t="str">
        <f aca="true">IF(TRIM(A300)="","",IF(D300="Выполнено","Выполнено",IF(OR(C300="Срочно",AND(F300&lt;&gt;"",F300&lt;=TODAY())),"Срочные",IF(OR(D300="Отложено",C300="Низкий",AND(F300&lt;&gt;"",F300&gt;TODAY()+Справочники!$H$2)),"Плановые","Текущие"))))</f>
        <v/>
      </c>
      <c r="K300" s="35" t="str">
        <f aca="true">IF(OR(A300="",D300="Выполнено"),"",IF(F300="",IF(AND(G300&lt;&gt;"",G300&lt;&gt;"Разово"),"↻ "&amp;G300,""),IF(F300&lt;TODAY(),"Просрочено на "&amp;(TODAY()-F300)&amp;" дн.",IF(F300=TODAY(),"Сегодня",IF(F300=TODAY()+1,"Завтра","Через "&amp;(F300-TODAY())&amp;" дн.")))))</f>
        <v/>
      </c>
      <c r="L300" s="0" t="str">
        <f aca="true">IF(J300="","",(IF(AND(F300&lt;&gt;"",F300&lt;TODAY()),0,1)*10000000+IFERROR(MATCH(C300,{"Срочно","Высокий","Средний","Низкий"},0),5)*100000+IF(F300="",99999,F300))*1000+ROW())</f>
        <v/>
      </c>
      <c r="M300" s="0" t="str">
        <f aca="false">IF(AND($J300="Срочные",OR(Главная!$F$6="Все",$B300=Главная!$F$6),OR(Главная!$F$7="Все",$C300=Главная!$F$7)),$L300,"")</f>
        <v/>
      </c>
      <c r="N300" s="0" t="str">
        <f aca="false">IF(AND($J300="Текущие",OR(Главная!$F$6="Все",$B300=Главная!$F$6),OR(Главная!$F$7="Все",$C300=Главная!$F$7)),$L300,"")</f>
        <v/>
      </c>
      <c r="O300" s="0" t="str">
        <f aca="false">IF(AND($J300="Плановые",OR(Главная!$F$6="Все",$B300=Главная!$F$6),OR(Главная!$F$7="Все",$C300=Главная!$F$7)),$L300,"")</f>
        <v/>
      </c>
      <c r="P300" s="0" t="str">
        <f aca="false">IF(J300="Выполнено",ROW(),"")</f>
        <v/>
      </c>
    </row>
    <row r="301" customFormat="false" ht="21.75" hidden="false" customHeight="true" outlineLevel="0" collapsed="false">
      <c r="A301" s="31"/>
      <c r="B301" s="31"/>
      <c r="C301" s="32"/>
      <c r="D301" s="32"/>
      <c r="E301" s="33"/>
      <c r="F301" s="33"/>
      <c r="G301" s="32"/>
      <c r="H301" s="32"/>
      <c r="I301" s="31"/>
      <c r="J301" s="34" t="str">
        <f aca="true">IF(TRIM(A301)="","",IF(D301="Выполнено","Выполнено",IF(OR(C301="Срочно",AND(F301&lt;&gt;"",F301&lt;=TODAY())),"Срочные",IF(OR(D301="Отложено",C301="Низкий",AND(F301&lt;&gt;"",F301&gt;TODAY()+Справочники!$H$2)),"Плановые","Текущие"))))</f>
        <v/>
      </c>
      <c r="K301" s="35" t="str">
        <f aca="true">IF(OR(A301="",D301="Выполнено"),"",IF(F301="",IF(AND(G301&lt;&gt;"",G301&lt;&gt;"Разово"),"↻ "&amp;G301,""),IF(F301&lt;TODAY(),"Просрочено на "&amp;(TODAY()-F301)&amp;" дн.",IF(F301=TODAY(),"Сегодня",IF(F301=TODAY()+1,"Завтра","Через "&amp;(F301-TODAY())&amp;" дн.")))))</f>
        <v/>
      </c>
      <c r="L301" s="0" t="str">
        <f aca="true">IF(J301="","",(IF(AND(F301&lt;&gt;"",F301&lt;TODAY()),0,1)*10000000+IFERROR(MATCH(C301,{"Срочно","Высокий","Средний","Низкий"},0),5)*100000+IF(F301="",99999,F301))*1000+ROW())</f>
        <v/>
      </c>
      <c r="M301" s="0" t="str">
        <f aca="false">IF(AND($J301="Срочные",OR(Главная!$F$6="Все",$B301=Главная!$F$6),OR(Главная!$F$7="Все",$C301=Главная!$F$7)),$L301,"")</f>
        <v/>
      </c>
      <c r="N301" s="0" t="str">
        <f aca="false">IF(AND($J301="Текущие",OR(Главная!$F$6="Все",$B301=Главная!$F$6),OR(Главная!$F$7="Все",$C301=Главная!$F$7)),$L301,"")</f>
        <v/>
      </c>
      <c r="O301" s="0" t="str">
        <f aca="false">IF(AND($J301="Плановые",OR(Главная!$F$6="Все",$B301=Главная!$F$6),OR(Главная!$F$7="Все",$C301=Главная!$F$7)),$L301,"")</f>
        <v/>
      </c>
      <c r="P301" s="0" t="str">
        <f aca="false">IF(J301="Выполнено",ROW(),"")</f>
        <v/>
      </c>
    </row>
    <row r="302" customFormat="false" ht="21.75" hidden="false" customHeight="true" outlineLevel="0" collapsed="false">
      <c r="A302" s="31"/>
      <c r="B302" s="31"/>
      <c r="C302" s="32"/>
      <c r="D302" s="32"/>
      <c r="E302" s="33"/>
      <c r="F302" s="33"/>
      <c r="G302" s="32"/>
      <c r="H302" s="32"/>
      <c r="I302" s="31"/>
      <c r="J302" s="34" t="str">
        <f aca="true">IF(TRIM(A302)="","",IF(D302="Выполнено","Выполнено",IF(OR(C302="Срочно",AND(F302&lt;&gt;"",F302&lt;=TODAY())),"Срочные",IF(OR(D302="Отложено",C302="Низкий",AND(F302&lt;&gt;"",F302&gt;TODAY()+Справочники!$H$2)),"Плановые","Текущие"))))</f>
        <v/>
      </c>
      <c r="K302" s="35" t="str">
        <f aca="true">IF(OR(A302="",D302="Выполнено"),"",IF(F302="",IF(AND(G302&lt;&gt;"",G302&lt;&gt;"Разово"),"↻ "&amp;G302,""),IF(F302&lt;TODAY(),"Просрочено на "&amp;(TODAY()-F302)&amp;" дн.",IF(F302=TODAY(),"Сегодня",IF(F302=TODAY()+1,"Завтра","Через "&amp;(F302-TODAY())&amp;" дн.")))))</f>
        <v/>
      </c>
      <c r="L302" s="0" t="str">
        <f aca="true">IF(J302="","",(IF(AND(F302&lt;&gt;"",F302&lt;TODAY()),0,1)*10000000+IFERROR(MATCH(C302,{"Срочно","Высокий","Средний","Низкий"},0),5)*100000+IF(F302="",99999,F302))*1000+ROW())</f>
        <v/>
      </c>
      <c r="M302" s="0" t="str">
        <f aca="false">IF(AND($J302="Срочные",OR(Главная!$F$6="Все",$B302=Главная!$F$6),OR(Главная!$F$7="Все",$C302=Главная!$F$7)),$L302,"")</f>
        <v/>
      </c>
      <c r="N302" s="0" t="str">
        <f aca="false">IF(AND($J302="Текущие",OR(Главная!$F$6="Все",$B302=Главная!$F$6),OR(Главная!$F$7="Все",$C302=Главная!$F$7)),$L302,"")</f>
        <v/>
      </c>
      <c r="O302" s="0" t="str">
        <f aca="false">IF(AND($J302="Плановые",OR(Главная!$F$6="Все",$B302=Главная!$F$6),OR(Главная!$F$7="Все",$C302=Главная!$F$7)),$L302,"")</f>
        <v/>
      </c>
      <c r="P302" s="0" t="str">
        <f aca="false">IF(J302="Выполнено",ROW(),"")</f>
        <v/>
      </c>
    </row>
    <row r="303" customFormat="false" ht="21.75" hidden="false" customHeight="true" outlineLevel="0" collapsed="false">
      <c r="A303" s="31"/>
      <c r="B303" s="31"/>
      <c r="C303" s="32"/>
      <c r="D303" s="32"/>
      <c r="E303" s="33"/>
      <c r="F303" s="33"/>
      <c r="G303" s="32"/>
      <c r="H303" s="32"/>
      <c r="I303" s="31"/>
      <c r="J303" s="34" t="str">
        <f aca="true">IF(TRIM(A303)="","",IF(D303="Выполнено","Выполнено",IF(OR(C303="Срочно",AND(F303&lt;&gt;"",F303&lt;=TODAY())),"Срочные",IF(OR(D303="Отложено",C303="Низкий",AND(F303&lt;&gt;"",F303&gt;TODAY()+Справочники!$H$2)),"Плановые","Текущие"))))</f>
        <v/>
      </c>
      <c r="K303" s="35" t="str">
        <f aca="true">IF(OR(A303="",D303="Выполнено"),"",IF(F303="",IF(AND(G303&lt;&gt;"",G303&lt;&gt;"Разово"),"↻ "&amp;G303,""),IF(F303&lt;TODAY(),"Просрочено на "&amp;(TODAY()-F303)&amp;" дн.",IF(F303=TODAY(),"Сегодня",IF(F303=TODAY()+1,"Завтра","Через "&amp;(F303-TODAY())&amp;" дн.")))))</f>
        <v/>
      </c>
      <c r="L303" s="0" t="str">
        <f aca="true">IF(J303="","",(IF(AND(F303&lt;&gt;"",F303&lt;TODAY()),0,1)*10000000+IFERROR(MATCH(C303,{"Срочно","Высокий","Средний","Низкий"},0),5)*100000+IF(F303="",99999,F303))*1000+ROW())</f>
        <v/>
      </c>
      <c r="M303" s="0" t="str">
        <f aca="false">IF(AND($J303="Срочные",OR(Главная!$F$6="Все",$B303=Главная!$F$6),OR(Главная!$F$7="Все",$C303=Главная!$F$7)),$L303,"")</f>
        <v/>
      </c>
      <c r="N303" s="0" t="str">
        <f aca="false">IF(AND($J303="Текущие",OR(Главная!$F$6="Все",$B303=Главная!$F$6),OR(Главная!$F$7="Все",$C303=Главная!$F$7)),$L303,"")</f>
        <v/>
      </c>
      <c r="O303" s="0" t="str">
        <f aca="false">IF(AND($J303="Плановые",OR(Главная!$F$6="Все",$B303=Главная!$F$6),OR(Главная!$F$7="Все",$C303=Главная!$F$7)),$L303,"")</f>
        <v/>
      </c>
      <c r="P303" s="0" t="str">
        <f aca="false">IF(J303="Выполнено",ROW(),"")</f>
        <v/>
      </c>
    </row>
    <row r="304" customFormat="false" ht="21.75" hidden="false" customHeight="true" outlineLevel="0" collapsed="false">
      <c r="A304" s="31"/>
      <c r="B304" s="31"/>
      <c r="C304" s="32"/>
      <c r="D304" s="32"/>
      <c r="E304" s="33"/>
      <c r="F304" s="33"/>
      <c r="G304" s="32"/>
      <c r="H304" s="32"/>
      <c r="I304" s="31"/>
      <c r="J304" s="34" t="str">
        <f aca="true">IF(TRIM(A304)="","",IF(D304="Выполнено","Выполнено",IF(OR(C304="Срочно",AND(F304&lt;&gt;"",F304&lt;=TODAY())),"Срочные",IF(OR(D304="Отложено",C304="Низкий",AND(F304&lt;&gt;"",F304&gt;TODAY()+Справочники!$H$2)),"Плановые","Текущие"))))</f>
        <v/>
      </c>
      <c r="K304" s="35" t="str">
        <f aca="true">IF(OR(A304="",D304="Выполнено"),"",IF(F304="",IF(AND(G304&lt;&gt;"",G304&lt;&gt;"Разово"),"↻ "&amp;G304,""),IF(F304&lt;TODAY(),"Просрочено на "&amp;(TODAY()-F304)&amp;" дн.",IF(F304=TODAY(),"Сегодня",IF(F304=TODAY()+1,"Завтра","Через "&amp;(F304-TODAY())&amp;" дн.")))))</f>
        <v/>
      </c>
      <c r="L304" s="0" t="str">
        <f aca="true">IF(J304="","",(IF(AND(F304&lt;&gt;"",F304&lt;TODAY()),0,1)*10000000+IFERROR(MATCH(C304,{"Срочно","Высокий","Средний","Низкий"},0),5)*100000+IF(F304="",99999,F304))*1000+ROW())</f>
        <v/>
      </c>
      <c r="M304" s="0" t="str">
        <f aca="false">IF(AND($J304="Срочные",OR(Главная!$F$6="Все",$B304=Главная!$F$6),OR(Главная!$F$7="Все",$C304=Главная!$F$7)),$L304,"")</f>
        <v/>
      </c>
      <c r="N304" s="0" t="str">
        <f aca="false">IF(AND($J304="Текущие",OR(Главная!$F$6="Все",$B304=Главная!$F$6),OR(Главная!$F$7="Все",$C304=Главная!$F$7)),$L304,"")</f>
        <v/>
      </c>
      <c r="O304" s="0" t="str">
        <f aca="false">IF(AND($J304="Плановые",OR(Главная!$F$6="Все",$B304=Главная!$F$6),OR(Главная!$F$7="Все",$C304=Главная!$F$7)),$L304,"")</f>
        <v/>
      </c>
      <c r="P304" s="0" t="str">
        <f aca="false">IF(J304="Выполнено",ROW(),"")</f>
        <v/>
      </c>
    </row>
    <row r="305" customFormat="false" ht="21.75" hidden="false" customHeight="true" outlineLevel="0" collapsed="false">
      <c r="A305" s="31"/>
      <c r="B305" s="31"/>
      <c r="C305" s="32"/>
      <c r="D305" s="32"/>
      <c r="E305" s="33"/>
      <c r="F305" s="33"/>
      <c r="G305" s="32"/>
      <c r="H305" s="32"/>
      <c r="I305" s="31"/>
      <c r="J305" s="34" t="str">
        <f aca="true">IF(TRIM(A305)="","",IF(D305="Выполнено","Выполнено",IF(OR(C305="Срочно",AND(F305&lt;&gt;"",F305&lt;=TODAY())),"Срочные",IF(OR(D305="Отложено",C305="Низкий",AND(F305&lt;&gt;"",F305&gt;TODAY()+Справочники!$H$2)),"Плановые","Текущие"))))</f>
        <v/>
      </c>
      <c r="K305" s="35" t="str">
        <f aca="true">IF(OR(A305="",D305="Выполнено"),"",IF(F305="",IF(AND(G305&lt;&gt;"",G305&lt;&gt;"Разово"),"↻ "&amp;G305,""),IF(F305&lt;TODAY(),"Просрочено на "&amp;(TODAY()-F305)&amp;" дн.",IF(F305=TODAY(),"Сегодня",IF(F305=TODAY()+1,"Завтра","Через "&amp;(F305-TODAY())&amp;" дн.")))))</f>
        <v/>
      </c>
      <c r="L305" s="0" t="str">
        <f aca="true">IF(J305="","",(IF(AND(F305&lt;&gt;"",F305&lt;TODAY()),0,1)*10000000+IFERROR(MATCH(C305,{"Срочно","Высокий","Средний","Низкий"},0),5)*100000+IF(F305="",99999,F305))*1000+ROW())</f>
        <v/>
      </c>
      <c r="M305" s="0" t="str">
        <f aca="false">IF(AND($J305="Срочные",OR(Главная!$F$6="Все",$B305=Главная!$F$6),OR(Главная!$F$7="Все",$C305=Главная!$F$7)),$L305,"")</f>
        <v/>
      </c>
      <c r="N305" s="0" t="str">
        <f aca="false">IF(AND($J305="Текущие",OR(Главная!$F$6="Все",$B305=Главная!$F$6),OR(Главная!$F$7="Все",$C305=Главная!$F$7)),$L305,"")</f>
        <v/>
      </c>
      <c r="O305" s="0" t="str">
        <f aca="false">IF(AND($J305="Плановые",OR(Главная!$F$6="Все",$B305=Главная!$F$6),OR(Главная!$F$7="Все",$C305=Главная!$F$7)),$L305,"")</f>
        <v/>
      </c>
      <c r="P305" s="0" t="str">
        <f aca="false">IF(J305="Выполнено",ROW(),"")</f>
        <v/>
      </c>
    </row>
    <row r="306" customFormat="false" ht="21.75" hidden="false" customHeight="true" outlineLevel="0" collapsed="false">
      <c r="A306" s="31"/>
      <c r="B306" s="31"/>
      <c r="C306" s="32"/>
      <c r="D306" s="32"/>
      <c r="E306" s="33"/>
      <c r="F306" s="33"/>
      <c r="G306" s="32"/>
      <c r="H306" s="32"/>
      <c r="I306" s="31"/>
      <c r="J306" s="34" t="str">
        <f aca="true">IF(TRIM(A306)="","",IF(D306="Выполнено","Выполнено",IF(OR(C306="Срочно",AND(F306&lt;&gt;"",F306&lt;=TODAY())),"Срочные",IF(OR(D306="Отложено",C306="Низкий",AND(F306&lt;&gt;"",F306&gt;TODAY()+Справочники!$H$2)),"Плановые","Текущие"))))</f>
        <v/>
      </c>
      <c r="K306" s="35" t="str">
        <f aca="true">IF(OR(A306="",D306="Выполнено"),"",IF(F306="",IF(AND(G306&lt;&gt;"",G306&lt;&gt;"Разово"),"↻ "&amp;G306,""),IF(F306&lt;TODAY(),"Просрочено на "&amp;(TODAY()-F306)&amp;" дн.",IF(F306=TODAY(),"Сегодня",IF(F306=TODAY()+1,"Завтра","Через "&amp;(F306-TODAY())&amp;" дн.")))))</f>
        <v/>
      </c>
      <c r="L306" s="0" t="str">
        <f aca="true">IF(J306="","",(IF(AND(F306&lt;&gt;"",F306&lt;TODAY()),0,1)*10000000+IFERROR(MATCH(C306,{"Срочно","Высокий","Средний","Низкий"},0),5)*100000+IF(F306="",99999,F306))*1000+ROW())</f>
        <v/>
      </c>
      <c r="M306" s="0" t="str">
        <f aca="false">IF(AND($J306="Срочные",OR(Главная!$F$6="Все",$B306=Главная!$F$6),OR(Главная!$F$7="Все",$C306=Главная!$F$7)),$L306,"")</f>
        <v/>
      </c>
      <c r="N306" s="0" t="str">
        <f aca="false">IF(AND($J306="Текущие",OR(Главная!$F$6="Все",$B306=Главная!$F$6),OR(Главная!$F$7="Все",$C306=Главная!$F$7)),$L306,"")</f>
        <v/>
      </c>
      <c r="O306" s="0" t="str">
        <f aca="false">IF(AND($J306="Плановые",OR(Главная!$F$6="Все",$B306=Главная!$F$6),OR(Главная!$F$7="Все",$C306=Главная!$F$7)),$L306,"")</f>
        <v/>
      </c>
      <c r="P306" s="0" t="str">
        <f aca="false">IF(J306="Выполнено",ROW(),"")</f>
        <v/>
      </c>
    </row>
    <row r="307" customFormat="false" ht="21.75" hidden="false" customHeight="true" outlineLevel="0" collapsed="false">
      <c r="A307" s="31"/>
      <c r="B307" s="31"/>
      <c r="C307" s="32"/>
      <c r="D307" s="32"/>
      <c r="E307" s="33"/>
      <c r="F307" s="33"/>
      <c r="G307" s="32"/>
      <c r="H307" s="32"/>
      <c r="I307" s="31"/>
      <c r="J307" s="34" t="str">
        <f aca="true">IF(TRIM(A307)="","",IF(D307="Выполнено","Выполнено",IF(OR(C307="Срочно",AND(F307&lt;&gt;"",F307&lt;=TODAY())),"Срочные",IF(OR(D307="Отложено",C307="Низкий",AND(F307&lt;&gt;"",F307&gt;TODAY()+Справочники!$H$2)),"Плановые","Текущие"))))</f>
        <v/>
      </c>
      <c r="K307" s="35" t="str">
        <f aca="true">IF(OR(A307="",D307="Выполнено"),"",IF(F307="",IF(AND(G307&lt;&gt;"",G307&lt;&gt;"Разово"),"↻ "&amp;G307,""),IF(F307&lt;TODAY(),"Просрочено на "&amp;(TODAY()-F307)&amp;" дн.",IF(F307=TODAY(),"Сегодня",IF(F307=TODAY()+1,"Завтра","Через "&amp;(F307-TODAY())&amp;" дн.")))))</f>
        <v/>
      </c>
      <c r="L307" s="0" t="str">
        <f aca="true">IF(J307="","",(IF(AND(F307&lt;&gt;"",F307&lt;TODAY()),0,1)*10000000+IFERROR(MATCH(C307,{"Срочно","Высокий","Средний","Низкий"},0),5)*100000+IF(F307="",99999,F307))*1000+ROW())</f>
        <v/>
      </c>
      <c r="M307" s="0" t="str">
        <f aca="false">IF(AND($J307="Срочные",OR(Главная!$F$6="Все",$B307=Главная!$F$6),OR(Главная!$F$7="Все",$C307=Главная!$F$7)),$L307,"")</f>
        <v/>
      </c>
      <c r="N307" s="0" t="str">
        <f aca="false">IF(AND($J307="Текущие",OR(Главная!$F$6="Все",$B307=Главная!$F$6),OR(Главная!$F$7="Все",$C307=Главная!$F$7)),$L307,"")</f>
        <v/>
      </c>
      <c r="O307" s="0" t="str">
        <f aca="false">IF(AND($J307="Плановые",OR(Главная!$F$6="Все",$B307=Главная!$F$6),OR(Главная!$F$7="Все",$C307=Главная!$F$7)),$L307,"")</f>
        <v/>
      </c>
      <c r="P307" s="0" t="str">
        <f aca="false">IF(J307="Выполнено",ROW(),"")</f>
        <v/>
      </c>
    </row>
    <row r="308" customFormat="false" ht="21.75" hidden="false" customHeight="true" outlineLevel="0" collapsed="false">
      <c r="A308" s="31"/>
      <c r="B308" s="31"/>
      <c r="C308" s="32"/>
      <c r="D308" s="32"/>
      <c r="E308" s="33"/>
      <c r="F308" s="33"/>
      <c r="G308" s="32"/>
      <c r="H308" s="32"/>
      <c r="I308" s="31"/>
      <c r="J308" s="34" t="str">
        <f aca="true">IF(TRIM(A308)="","",IF(D308="Выполнено","Выполнено",IF(OR(C308="Срочно",AND(F308&lt;&gt;"",F308&lt;=TODAY())),"Срочные",IF(OR(D308="Отложено",C308="Низкий",AND(F308&lt;&gt;"",F308&gt;TODAY()+Справочники!$H$2)),"Плановые","Текущие"))))</f>
        <v/>
      </c>
      <c r="K308" s="35" t="str">
        <f aca="true">IF(OR(A308="",D308="Выполнено"),"",IF(F308="",IF(AND(G308&lt;&gt;"",G308&lt;&gt;"Разово"),"↻ "&amp;G308,""),IF(F308&lt;TODAY(),"Просрочено на "&amp;(TODAY()-F308)&amp;" дн.",IF(F308=TODAY(),"Сегодня",IF(F308=TODAY()+1,"Завтра","Через "&amp;(F308-TODAY())&amp;" дн.")))))</f>
        <v/>
      </c>
      <c r="L308" s="0" t="str">
        <f aca="true">IF(J308="","",(IF(AND(F308&lt;&gt;"",F308&lt;TODAY()),0,1)*10000000+IFERROR(MATCH(C308,{"Срочно","Высокий","Средний","Низкий"},0),5)*100000+IF(F308="",99999,F308))*1000+ROW())</f>
        <v/>
      </c>
      <c r="M308" s="0" t="str">
        <f aca="false">IF(AND($J308="Срочные",OR(Главная!$F$6="Все",$B308=Главная!$F$6),OR(Главная!$F$7="Все",$C308=Главная!$F$7)),$L308,"")</f>
        <v/>
      </c>
      <c r="N308" s="0" t="str">
        <f aca="false">IF(AND($J308="Текущие",OR(Главная!$F$6="Все",$B308=Главная!$F$6),OR(Главная!$F$7="Все",$C308=Главная!$F$7)),$L308,"")</f>
        <v/>
      </c>
      <c r="O308" s="0" t="str">
        <f aca="false">IF(AND($J308="Плановые",OR(Главная!$F$6="Все",$B308=Главная!$F$6),OR(Главная!$F$7="Все",$C308=Главная!$F$7)),$L308,"")</f>
        <v/>
      </c>
      <c r="P308" s="0" t="str">
        <f aca="false">IF(J308="Выполнено",ROW(),"")</f>
        <v/>
      </c>
    </row>
    <row r="309" customFormat="false" ht="21.75" hidden="false" customHeight="true" outlineLevel="0" collapsed="false">
      <c r="A309" s="31"/>
      <c r="B309" s="31"/>
      <c r="C309" s="32"/>
      <c r="D309" s="32"/>
      <c r="E309" s="33"/>
      <c r="F309" s="33"/>
      <c r="G309" s="32"/>
      <c r="H309" s="32"/>
      <c r="I309" s="31"/>
      <c r="J309" s="34" t="str">
        <f aca="true">IF(TRIM(A309)="","",IF(D309="Выполнено","Выполнено",IF(OR(C309="Срочно",AND(F309&lt;&gt;"",F309&lt;=TODAY())),"Срочные",IF(OR(D309="Отложено",C309="Низкий",AND(F309&lt;&gt;"",F309&gt;TODAY()+Справочники!$H$2)),"Плановые","Текущие"))))</f>
        <v/>
      </c>
      <c r="K309" s="35" t="str">
        <f aca="true">IF(OR(A309="",D309="Выполнено"),"",IF(F309="",IF(AND(G309&lt;&gt;"",G309&lt;&gt;"Разово"),"↻ "&amp;G309,""),IF(F309&lt;TODAY(),"Просрочено на "&amp;(TODAY()-F309)&amp;" дн.",IF(F309=TODAY(),"Сегодня",IF(F309=TODAY()+1,"Завтра","Через "&amp;(F309-TODAY())&amp;" дн.")))))</f>
        <v/>
      </c>
      <c r="L309" s="0" t="str">
        <f aca="true">IF(J309="","",(IF(AND(F309&lt;&gt;"",F309&lt;TODAY()),0,1)*10000000+IFERROR(MATCH(C309,{"Срочно","Высокий","Средний","Низкий"},0),5)*100000+IF(F309="",99999,F309))*1000+ROW())</f>
        <v/>
      </c>
      <c r="M309" s="0" t="str">
        <f aca="false">IF(AND($J309="Срочные",OR(Главная!$F$6="Все",$B309=Главная!$F$6),OR(Главная!$F$7="Все",$C309=Главная!$F$7)),$L309,"")</f>
        <v/>
      </c>
      <c r="N309" s="0" t="str">
        <f aca="false">IF(AND($J309="Текущие",OR(Главная!$F$6="Все",$B309=Главная!$F$6),OR(Главная!$F$7="Все",$C309=Главная!$F$7)),$L309,"")</f>
        <v/>
      </c>
      <c r="O309" s="0" t="str">
        <f aca="false">IF(AND($J309="Плановые",OR(Главная!$F$6="Все",$B309=Главная!$F$6),OR(Главная!$F$7="Все",$C309=Главная!$F$7)),$L309,"")</f>
        <v/>
      </c>
      <c r="P309" s="0" t="str">
        <f aca="false">IF(J309="Выполнено",ROW(),"")</f>
        <v/>
      </c>
    </row>
    <row r="310" customFormat="false" ht="21.75" hidden="false" customHeight="true" outlineLevel="0" collapsed="false">
      <c r="A310" s="31"/>
      <c r="B310" s="31"/>
      <c r="C310" s="32"/>
      <c r="D310" s="32"/>
      <c r="E310" s="33"/>
      <c r="F310" s="33"/>
      <c r="G310" s="32"/>
      <c r="H310" s="32"/>
      <c r="I310" s="31"/>
      <c r="J310" s="34" t="str">
        <f aca="true">IF(TRIM(A310)="","",IF(D310="Выполнено","Выполнено",IF(OR(C310="Срочно",AND(F310&lt;&gt;"",F310&lt;=TODAY())),"Срочные",IF(OR(D310="Отложено",C310="Низкий",AND(F310&lt;&gt;"",F310&gt;TODAY()+Справочники!$H$2)),"Плановые","Текущие"))))</f>
        <v/>
      </c>
      <c r="K310" s="35" t="str">
        <f aca="true">IF(OR(A310="",D310="Выполнено"),"",IF(F310="",IF(AND(G310&lt;&gt;"",G310&lt;&gt;"Разово"),"↻ "&amp;G310,""),IF(F310&lt;TODAY(),"Просрочено на "&amp;(TODAY()-F310)&amp;" дн.",IF(F310=TODAY(),"Сегодня",IF(F310=TODAY()+1,"Завтра","Через "&amp;(F310-TODAY())&amp;" дн.")))))</f>
        <v/>
      </c>
      <c r="L310" s="0" t="str">
        <f aca="true">IF(J310="","",(IF(AND(F310&lt;&gt;"",F310&lt;TODAY()),0,1)*10000000+IFERROR(MATCH(C310,{"Срочно","Высокий","Средний","Низкий"},0),5)*100000+IF(F310="",99999,F310))*1000+ROW())</f>
        <v/>
      </c>
      <c r="M310" s="0" t="str">
        <f aca="false">IF(AND($J310="Срочные",OR(Главная!$F$6="Все",$B310=Главная!$F$6),OR(Главная!$F$7="Все",$C310=Главная!$F$7)),$L310,"")</f>
        <v/>
      </c>
      <c r="N310" s="0" t="str">
        <f aca="false">IF(AND($J310="Текущие",OR(Главная!$F$6="Все",$B310=Главная!$F$6),OR(Главная!$F$7="Все",$C310=Главная!$F$7)),$L310,"")</f>
        <v/>
      </c>
      <c r="O310" s="0" t="str">
        <f aca="false">IF(AND($J310="Плановые",OR(Главная!$F$6="Все",$B310=Главная!$F$6),OR(Главная!$F$7="Все",$C310=Главная!$F$7)),$L310,"")</f>
        <v/>
      </c>
      <c r="P310" s="0" t="str">
        <f aca="false">IF(J310="Выполнено",ROW(),"")</f>
        <v/>
      </c>
    </row>
    <row r="311" customFormat="false" ht="21.75" hidden="false" customHeight="true" outlineLevel="0" collapsed="false">
      <c r="A311" s="31"/>
      <c r="B311" s="31"/>
      <c r="C311" s="32"/>
      <c r="D311" s="32"/>
      <c r="E311" s="33"/>
      <c r="F311" s="33"/>
      <c r="G311" s="32"/>
      <c r="H311" s="32"/>
      <c r="I311" s="31"/>
      <c r="J311" s="34" t="str">
        <f aca="true">IF(TRIM(A311)="","",IF(D311="Выполнено","Выполнено",IF(OR(C311="Срочно",AND(F311&lt;&gt;"",F311&lt;=TODAY())),"Срочные",IF(OR(D311="Отложено",C311="Низкий",AND(F311&lt;&gt;"",F311&gt;TODAY()+Справочники!$H$2)),"Плановые","Текущие"))))</f>
        <v/>
      </c>
      <c r="K311" s="35" t="str">
        <f aca="true">IF(OR(A311="",D311="Выполнено"),"",IF(F311="",IF(AND(G311&lt;&gt;"",G311&lt;&gt;"Разово"),"↻ "&amp;G311,""),IF(F311&lt;TODAY(),"Просрочено на "&amp;(TODAY()-F311)&amp;" дн.",IF(F311=TODAY(),"Сегодня",IF(F311=TODAY()+1,"Завтра","Через "&amp;(F311-TODAY())&amp;" дн.")))))</f>
        <v/>
      </c>
      <c r="L311" s="0" t="str">
        <f aca="true">IF(J311="","",(IF(AND(F311&lt;&gt;"",F311&lt;TODAY()),0,1)*10000000+IFERROR(MATCH(C311,{"Срочно","Высокий","Средний","Низкий"},0),5)*100000+IF(F311="",99999,F311))*1000+ROW())</f>
        <v/>
      </c>
      <c r="M311" s="0" t="str">
        <f aca="false">IF(AND($J311="Срочные",OR(Главная!$F$6="Все",$B311=Главная!$F$6),OR(Главная!$F$7="Все",$C311=Главная!$F$7)),$L311,"")</f>
        <v/>
      </c>
      <c r="N311" s="0" t="str">
        <f aca="false">IF(AND($J311="Текущие",OR(Главная!$F$6="Все",$B311=Главная!$F$6),OR(Главная!$F$7="Все",$C311=Главная!$F$7)),$L311,"")</f>
        <v/>
      </c>
      <c r="O311" s="0" t="str">
        <f aca="false">IF(AND($J311="Плановые",OR(Главная!$F$6="Все",$B311=Главная!$F$6),OR(Главная!$F$7="Все",$C311=Главная!$F$7)),$L311,"")</f>
        <v/>
      </c>
      <c r="P311" s="0" t="str">
        <f aca="false">IF(J311="Выполнено",ROW(),"")</f>
        <v/>
      </c>
    </row>
    <row r="312" customFormat="false" ht="21.75" hidden="false" customHeight="true" outlineLevel="0" collapsed="false">
      <c r="A312" s="31"/>
      <c r="B312" s="31"/>
      <c r="C312" s="32"/>
      <c r="D312" s="32"/>
      <c r="E312" s="33"/>
      <c r="F312" s="33"/>
      <c r="G312" s="32"/>
      <c r="H312" s="32"/>
      <c r="I312" s="31"/>
      <c r="J312" s="34" t="str">
        <f aca="true">IF(TRIM(A312)="","",IF(D312="Выполнено","Выполнено",IF(OR(C312="Срочно",AND(F312&lt;&gt;"",F312&lt;=TODAY())),"Срочные",IF(OR(D312="Отложено",C312="Низкий",AND(F312&lt;&gt;"",F312&gt;TODAY()+Справочники!$H$2)),"Плановые","Текущие"))))</f>
        <v/>
      </c>
      <c r="K312" s="35" t="str">
        <f aca="true">IF(OR(A312="",D312="Выполнено"),"",IF(F312="",IF(AND(G312&lt;&gt;"",G312&lt;&gt;"Разово"),"↻ "&amp;G312,""),IF(F312&lt;TODAY(),"Просрочено на "&amp;(TODAY()-F312)&amp;" дн.",IF(F312=TODAY(),"Сегодня",IF(F312=TODAY()+1,"Завтра","Через "&amp;(F312-TODAY())&amp;" дн.")))))</f>
        <v/>
      </c>
      <c r="L312" s="0" t="str">
        <f aca="true">IF(J312="","",(IF(AND(F312&lt;&gt;"",F312&lt;TODAY()),0,1)*10000000+IFERROR(MATCH(C312,{"Срочно","Высокий","Средний","Низкий"},0),5)*100000+IF(F312="",99999,F312))*1000+ROW())</f>
        <v/>
      </c>
      <c r="M312" s="0" t="str">
        <f aca="false">IF(AND($J312="Срочные",OR(Главная!$F$6="Все",$B312=Главная!$F$6),OR(Главная!$F$7="Все",$C312=Главная!$F$7)),$L312,"")</f>
        <v/>
      </c>
      <c r="N312" s="0" t="str">
        <f aca="false">IF(AND($J312="Текущие",OR(Главная!$F$6="Все",$B312=Главная!$F$6),OR(Главная!$F$7="Все",$C312=Главная!$F$7)),$L312,"")</f>
        <v/>
      </c>
      <c r="O312" s="0" t="str">
        <f aca="false">IF(AND($J312="Плановые",OR(Главная!$F$6="Все",$B312=Главная!$F$6),OR(Главная!$F$7="Все",$C312=Главная!$F$7)),$L312,"")</f>
        <v/>
      </c>
      <c r="P312" s="0" t="str">
        <f aca="false">IF(J312="Выполнено",ROW(),"")</f>
        <v/>
      </c>
    </row>
    <row r="313" customFormat="false" ht="21.75" hidden="false" customHeight="true" outlineLevel="0" collapsed="false">
      <c r="A313" s="31"/>
      <c r="B313" s="31"/>
      <c r="C313" s="32"/>
      <c r="D313" s="32"/>
      <c r="E313" s="33"/>
      <c r="F313" s="33"/>
      <c r="G313" s="32"/>
      <c r="H313" s="32"/>
      <c r="I313" s="31"/>
      <c r="J313" s="34" t="str">
        <f aca="true">IF(TRIM(A313)="","",IF(D313="Выполнено","Выполнено",IF(OR(C313="Срочно",AND(F313&lt;&gt;"",F313&lt;=TODAY())),"Срочные",IF(OR(D313="Отложено",C313="Низкий",AND(F313&lt;&gt;"",F313&gt;TODAY()+Справочники!$H$2)),"Плановые","Текущие"))))</f>
        <v/>
      </c>
      <c r="K313" s="35" t="str">
        <f aca="true">IF(OR(A313="",D313="Выполнено"),"",IF(F313="",IF(AND(G313&lt;&gt;"",G313&lt;&gt;"Разово"),"↻ "&amp;G313,""),IF(F313&lt;TODAY(),"Просрочено на "&amp;(TODAY()-F313)&amp;" дн.",IF(F313=TODAY(),"Сегодня",IF(F313=TODAY()+1,"Завтра","Через "&amp;(F313-TODAY())&amp;" дн.")))))</f>
        <v/>
      </c>
      <c r="L313" s="0" t="str">
        <f aca="true">IF(J313="","",(IF(AND(F313&lt;&gt;"",F313&lt;TODAY()),0,1)*10000000+IFERROR(MATCH(C313,{"Срочно","Высокий","Средний","Низкий"},0),5)*100000+IF(F313="",99999,F313))*1000+ROW())</f>
        <v/>
      </c>
      <c r="M313" s="0" t="str">
        <f aca="false">IF(AND($J313="Срочные",OR(Главная!$F$6="Все",$B313=Главная!$F$6),OR(Главная!$F$7="Все",$C313=Главная!$F$7)),$L313,"")</f>
        <v/>
      </c>
      <c r="N313" s="0" t="str">
        <f aca="false">IF(AND($J313="Текущие",OR(Главная!$F$6="Все",$B313=Главная!$F$6),OR(Главная!$F$7="Все",$C313=Главная!$F$7)),$L313,"")</f>
        <v/>
      </c>
      <c r="O313" s="0" t="str">
        <f aca="false">IF(AND($J313="Плановые",OR(Главная!$F$6="Все",$B313=Главная!$F$6),OR(Главная!$F$7="Все",$C313=Главная!$F$7)),$L313,"")</f>
        <v/>
      </c>
      <c r="P313" s="0" t="str">
        <f aca="false">IF(J313="Выполнено",ROW(),"")</f>
        <v/>
      </c>
    </row>
    <row r="314" customFormat="false" ht="21.75" hidden="false" customHeight="true" outlineLevel="0" collapsed="false">
      <c r="A314" s="31"/>
      <c r="B314" s="31"/>
      <c r="C314" s="32"/>
      <c r="D314" s="32"/>
      <c r="E314" s="33"/>
      <c r="F314" s="33"/>
      <c r="G314" s="32"/>
      <c r="H314" s="32"/>
      <c r="I314" s="31"/>
      <c r="J314" s="34" t="str">
        <f aca="true">IF(TRIM(A314)="","",IF(D314="Выполнено","Выполнено",IF(OR(C314="Срочно",AND(F314&lt;&gt;"",F314&lt;=TODAY())),"Срочные",IF(OR(D314="Отложено",C314="Низкий",AND(F314&lt;&gt;"",F314&gt;TODAY()+Справочники!$H$2)),"Плановые","Текущие"))))</f>
        <v/>
      </c>
      <c r="K314" s="35" t="str">
        <f aca="true">IF(OR(A314="",D314="Выполнено"),"",IF(F314="",IF(AND(G314&lt;&gt;"",G314&lt;&gt;"Разово"),"↻ "&amp;G314,""),IF(F314&lt;TODAY(),"Просрочено на "&amp;(TODAY()-F314)&amp;" дн.",IF(F314=TODAY(),"Сегодня",IF(F314=TODAY()+1,"Завтра","Через "&amp;(F314-TODAY())&amp;" дн.")))))</f>
        <v/>
      </c>
      <c r="L314" s="0" t="str">
        <f aca="true">IF(J314="","",(IF(AND(F314&lt;&gt;"",F314&lt;TODAY()),0,1)*10000000+IFERROR(MATCH(C314,{"Срочно","Высокий","Средний","Низкий"},0),5)*100000+IF(F314="",99999,F314))*1000+ROW())</f>
        <v/>
      </c>
      <c r="M314" s="0" t="str">
        <f aca="false">IF(AND($J314="Срочные",OR(Главная!$F$6="Все",$B314=Главная!$F$6),OR(Главная!$F$7="Все",$C314=Главная!$F$7)),$L314,"")</f>
        <v/>
      </c>
      <c r="N314" s="0" t="str">
        <f aca="false">IF(AND($J314="Текущие",OR(Главная!$F$6="Все",$B314=Главная!$F$6),OR(Главная!$F$7="Все",$C314=Главная!$F$7)),$L314,"")</f>
        <v/>
      </c>
      <c r="O314" s="0" t="str">
        <f aca="false">IF(AND($J314="Плановые",OR(Главная!$F$6="Все",$B314=Главная!$F$6),OR(Главная!$F$7="Все",$C314=Главная!$F$7)),$L314,"")</f>
        <v/>
      </c>
      <c r="P314" s="0" t="str">
        <f aca="false">IF(J314="Выполнено",ROW(),"")</f>
        <v/>
      </c>
    </row>
    <row r="315" customFormat="false" ht="21.75" hidden="false" customHeight="true" outlineLevel="0" collapsed="false">
      <c r="A315" s="31"/>
      <c r="B315" s="31"/>
      <c r="C315" s="32"/>
      <c r="D315" s="32"/>
      <c r="E315" s="33"/>
      <c r="F315" s="33"/>
      <c r="G315" s="32"/>
      <c r="H315" s="32"/>
      <c r="I315" s="31"/>
      <c r="J315" s="34" t="str">
        <f aca="true">IF(TRIM(A315)="","",IF(D315="Выполнено","Выполнено",IF(OR(C315="Срочно",AND(F315&lt;&gt;"",F315&lt;=TODAY())),"Срочные",IF(OR(D315="Отложено",C315="Низкий",AND(F315&lt;&gt;"",F315&gt;TODAY()+Справочники!$H$2)),"Плановые","Текущие"))))</f>
        <v/>
      </c>
      <c r="K315" s="35" t="str">
        <f aca="true">IF(OR(A315="",D315="Выполнено"),"",IF(F315="",IF(AND(G315&lt;&gt;"",G315&lt;&gt;"Разово"),"↻ "&amp;G315,""),IF(F315&lt;TODAY(),"Просрочено на "&amp;(TODAY()-F315)&amp;" дн.",IF(F315=TODAY(),"Сегодня",IF(F315=TODAY()+1,"Завтра","Через "&amp;(F315-TODAY())&amp;" дн.")))))</f>
        <v/>
      </c>
      <c r="L315" s="0" t="str">
        <f aca="true">IF(J315="","",(IF(AND(F315&lt;&gt;"",F315&lt;TODAY()),0,1)*10000000+IFERROR(MATCH(C315,{"Срочно","Высокий","Средний","Низкий"},0),5)*100000+IF(F315="",99999,F315))*1000+ROW())</f>
        <v/>
      </c>
      <c r="M315" s="0" t="str">
        <f aca="false">IF(AND($J315="Срочные",OR(Главная!$F$6="Все",$B315=Главная!$F$6),OR(Главная!$F$7="Все",$C315=Главная!$F$7)),$L315,"")</f>
        <v/>
      </c>
      <c r="N315" s="0" t="str">
        <f aca="false">IF(AND($J315="Текущие",OR(Главная!$F$6="Все",$B315=Главная!$F$6),OR(Главная!$F$7="Все",$C315=Главная!$F$7)),$L315,"")</f>
        <v/>
      </c>
      <c r="O315" s="0" t="str">
        <f aca="false">IF(AND($J315="Плановые",OR(Главная!$F$6="Все",$B315=Главная!$F$6),OR(Главная!$F$7="Все",$C315=Главная!$F$7)),$L315,"")</f>
        <v/>
      </c>
      <c r="P315" s="0" t="str">
        <f aca="false">IF(J315="Выполнено",ROW(),"")</f>
        <v/>
      </c>
    </row>
    <row r="316" customFormat="false" ht="21.75" hidden="false" customHeight="true" outlineLevel="0" collapsed="false">
      <c r="A316" s="31"/>
      <c r="B316" s="31"/>
      <c r="C316" s="32"/>
      <c r="D316" s="32"/>
      <c r="E316" s="33"/>
      <c r="F316" s="33"/>
      <c r="G316" s="32"/>
      <c r="H316" s="32"/>
      <c r="I316" s="31"/>
      <c r="J316" s="34" t="str">
        <f aca="true">IF(TRIM(A316)="","",IF(D316="Выполнено","Выполнено",IF(OR(C316="Срочно",AND(F316&lt;&gt;"",F316&lt;=TODAY())),"Срочные",IF(OR(D316="Отложено",C316="Низкий",AND(F316&lt;&gt;"",F316&gt;TODAY()+Справочники!$H$2)),"Плановые","Текущие"))))</f>
        <v/>
      </c>
      <c r="K316" s="35" t="str">
        <f aca="true">IF(OR(A316="",D316="Выполнено"),"",IF(F316="",IF(AND(G316&lt;&gt;"",G316&lt;&gt;"Разово"),"↻ "&amp;G316,""),IF(F316&lt;TODAY(),"Просрочено на "&amp;(TODAY()-F316)&amp;" дн.",IF(F316=TODAY(),"Сегодня",IF(F316=TODAY()+1,"Завтра","Через "&amp;(F316-TODAY())&amp;" дн.")))))</f>
        <v/>
      </c>
      <c r="L316" s="0" t="str">
        <f aca="true">IF(J316="","",(IF(AND(F316&lt;&gt;"",F316&lt;TODAY()),0,1)*10000000+IFERROR(MATCH(C316,{"Срочно","Высокий","Средний","Низкий"},0),5)*100000+IF(F316="",99999,F316))*1000+ROW())</f>
        <v/>
      </c>
      <c r="M316" s="0" t="str">
        <f aca="false">IF(AND($J316="Срочные",OR(Главная!$F$6="Все",$B316=Главная!$F$6),OR(Главная!$F$7="Все",$C316=Главная!$F$7)),$L316,"")</f>
        <v/>
      </c>
      <c r="N316" s="0" t="str">
        <f aca="false">IF(AND($J316="Текущие",OR(Главная!$F$6="Все",$B316=Главная!$F$6),OR(Главная!$F$7="Все",$C316=Главная!$F$7)),$L316,"")</f>
        <v/>
      </c>
      <c r="O316" s="0" t="str">
        <f aca="false">IF(AND($J316="Плановые",OR(Главная!$F$6="Все",$B316=Главная!$F$6),OR(Главная!$F$7="Все",$C316=Главная!$F$7)),$L316,"")</f>
        <v/>
      </c>
      <c r="P316" s="0" t="str">
        <f aca="false">IF(J316="Выполнено",ROW(),"")</f>
        <v/>
      </c>
    </row>
    <row r="317" customFormat="false" ht="21.75" hidden="false" customHeight="true" outlineLevel="0" collapsed="false">
      <c r="A317" s="31"/>
      <c r="B317" s="31"/>
      <c r="C317" s="32"/>
      <c r="D317" s="32"/>
      <c r="E317" s="33"/>
      <c r="F317" s="33"/>
      <c r="G317" s="32"/>
      <c r="H317" s="32"/>
      <c r="I317" s="31"/>
      <c r="J317" s="34" t="str">
        <f aca="true">IF(TRIM(A317)="","",IF(D317="Выполнено","Выполнено",IF(OR(C317="Срочно",AND(F317&lt;&gt;"",F317&lt;=TODAY())),"Срочные",IF(OR(D317="Отложено",C317="Низкий",AND(F317&lt;&gt;"",F317&gt;TODAY()+Справочники!$H$2)),"Плановые","Текущие"))))</f>
        <v/>
      </c>
      <c r="K317" s="35" t="str">
        <f aca="true">IF(OR(A317="",D317="Выполнено"),"",IF(F317="",IF(AND(G317&lt;&gt;"",G317&lt;&gt;"Разово"),"↻ "&amp;G317,""),IF(F317&lt;TODAY(),"Просрочено на "&amp;(TODAY()-F317)&amp;" дн.",IF(F317=TODAY(),"Сегодня",IF(F317=TODAY()+1,"Завтра","Через "&amp;(F317-TODAY())&amp;" дн.")))))</f>
        <v/>
      </c>
      <c r="L317" s="0" t="str">
        <f aca="true">IF(J317="","",(IF(AND(F317&lt;&gt;"",F317&lt;TODAY()),0,1)*10000000+IFERROR(MATCH(C317,{"Срочно","Высокий","Средний","Низкий"},0),5)*100000+IF(F317="",99999,F317))*1000+ROW())</f>
        <v/>
      </c>
      <c r="M317" s="0" t="str">
        <f aca="false">IF(AND($J317="Срочные",OR(Главная!$F$6="Все",$B317=Главная!$F$6),OR(Главная!$F$7="Все",$C317=Главная!$F$7)),$L317,"")</f>
        <v/>
      </c>
      <c r="N317" s="0" t="str">
        <f aca="false">IF(AND($J317="Текущие",OR(Главная!$F$6="Все",$B317=Главная!$F$6),OR(Главная!$F$7="Все",$C317=Главная!$F$7)),$L317,"")</f>
        <v/>
      </c>
      <c r="O317" s="0" t="str">
        <f aca="false">IF(AND($J317="Плановые",OR(Главная!$F$6="Все",$B317=Главная!$F$6),OR(Главная!$F$7="Все",$C317=Главная!$F$7)),$L317,"")</f>
        <v/>
      </c>
      <c r="P317" s="0" t="str">
        <f aca="false">IF(J317="Выполнено",ROW(),"")</f>
        <v/>
      </c>
    </row>
    <row r="318" customFormat="false" ht="21.75" hidden="false" customHeight="true" outlineLevel="0" collapsed="false">
      <c r="A318" s="31"/>
      <c r="B318" s="31"/>
      <c r="C318" s="32"/>
      <c r="D318" s="32"/>
      <c r="E318" s="33"/>
      <c r="F318" s="33"/>
      <c r="G318" s="32"/>
      <c r="H318" s="32"/>
      <c r="I318" s="31"/>
      <c r="J318" s="34" t="str">
        <f aca="true">IF(TRIM(A318)="","",IF(D318="Выполнено","Выполнено",IF(OR(C318="Срочно",AND(F318&lt;&gt;"",F318&lt;=TODAY())),"Срочные",IF(OR(D318="Отложено",C318="Низкий",AND(F318&lt;&gt;"",F318&gt;TODAY()+Справочники!$H$2)),"Плановые","Текущие"))))</f>
        <v/>
      </c>
      <c r="K318" s="35" t="str">
        <f aca="true">IF(OR(A318="",D318="Выполнено"),"",IF(F318="",IF(AND(G318&lt;&gt;"",G318&lt;&gt;"Разово"),"↻ "&amp;G318,""),IF(F318&lt;TODAY(),"Просрочено на "&amp;(TODAY()-F318)&amp;" дн.",IF(F318=TODAY(),"Сегодня",IF(F318=TODAY()+1,"Завтра","Через "&amp;(F318-TODAY())&amp;" дн.")))))</f>
        <v/>
      </c>
      <c r="L318" s="0" t="str">
        <f aca="true">IF(J318="","",(IF(AND(F318&lt;&gt;"",F318&lt;TODAY()),0,1)*10000000+IFERROR(MATCH(C318,{"Срочно","Высокий","Средний","Низкий"},0),5)*100000+IF(F318="",99999,F318))*1000+ROW())</f>
        <v/>
      </c>
      <c r="M318" s="0" t="str">
        <f aca="false">IF(AND($J318="Срочные",OR(Главная!$F$6="Все",$B318=Главная!$F$6),OR(Главная!$F$7="Все",$C318=Главная!$F$7)),$L318,"")</f>
        <v/>
      </c>
      <c r="N318" s="0" t="str">
        <f aca="false">IF(AND($J318="Текущие",OR(Главная!$F$6="Все",$B318=Главная!$F$6),OR(Главная!$F$7="Все",$C318=Главная!$F$7)),$L318,"")</f>
        <v/>
      </c>
      <c r="O318" s="0" t="str">
        <f aca="false">IF(AND($J318="Плановые",OR(Главная!$F$6="Все",$B318=Главная!$F$6),OR(Главная!$F$7="Все",$C318=Главная!$F$7)),$L318,"")</f>
        <v/>
      </c>
      <c r="P318" s="0" t="str">
        <f aca="false">IF(J318="Выполнено",ROW(),"")</f>
        <v/>
      </c>
    </row>
    <row r="319" customFormat="false" ht="21.75" hidden="false" customHeight="true" outlineLevel="0" collapsed="false">
      <c r="A319" s="31"/>
      <c r="B319" s="31"/>
      <c r="C319" s="32"/>
      <c r="D319" s="32"/>
      <c r="E319" s="33"/>
      <c r="F319" s="33"/>
      <c r="G319" s="32"/>
      <c r="H319" s="32"/>
      <c r="I319" s="31"/>
      <c r="J319" s="34" t="str">
        <f aca="true">IF(TRIM(A319)="","",IF(D319="Выполнено","Выполнено",IF(OR(C319="Срочно",AND(F319&lt;&gt;"",F319&lt;=TODAY())),"Срочные",IF(OR(D319="Отложено",C319="Низкий",AND(F319&lt;&gt;"",F319&gt;TODAY()+Справочники!$H$2)),"Плановые","Текущие"))))</f>
        <v/>
      </c>
      <c r="K319" s="35" t="str">
        <f aca="true">IF(OR(A319="",D319="Выполнено"),"",IF(F319="",IF(AND(G319&lt;&gt;"",G319&lt;&gt;"Разово"),"↻ "&amp;G319,""),IF(F319&lt;TODAY(),"Просрочено на "&amp;(TODAY()-F319)&amp;" дн.",IF(F319=TODAY(),"Сегодня",IF(F319=TODAY()+1,"Завтра","Через "&amp;(F319-TODAY())&amp;" дн.")))))</f>
        <v/>
      </c>
      <c r="L319" s="0" t="str">
        <f aca="true">IF(J319="","",(IF(AND(F319&lt;&gt;"",F319&lt;TODAY()),0,1)*10000000+IFERROR(MATCH(C319,{"Срочно","Высокий","Средний","Низкий"},0),5)*100000+IF(F319="",99999,F319))*1000+ROW())</f>
        <v/>
      </c>
      <c r="M319" s="0" t="str">
        <f aca="false">IF(AND($J319="Срочные",OR(Главная!$F$6="Все",$B319=Главная!$F$6),OR(Главная!$F$7="Все",$C319=Главная!$F$7)),$L319,"")</f>
        <v/>
      </c>
      <c r="N319" s="0" t="str">
        <f aca="false">IF(AND($J319="Текущие",OR(Главная!$F$6="Все",$B319=Главная!$F$6),OR(Главная!$F$7="Все",$C319=Главная!$F$7)),$L319,"")</f>
        <v/>
      </c>
      <c r="O319" s="0" t="str">
        <f aca="false">IF(AND($J319="Плановые",OR(Главная!$F$6="Все",$B319=Главная!$F$6),OR(Главная!$F$7="Все",$C319=Главная!$F$7)),$L319,"")</f>
        <v/>
      </c>
      <c r="P319" s="0" t="str">
        <f aca="false">IF(J319="Выполнено",ROW(),"")</f>
        <v/>
      </c>
    </row>
    <row r="320" customFormat="false" ht="21.75" hidden="false" customHeight="true" outlineLevel="0" collapsed="false">
      <c r="A320" s="31"/>
      <c r="B320" s="31"/>
      <c r="C320" s="32"/>
      <c r="D320" s="32"/>
      <c r="E320" s="33"/>
      <c r="F320" s="33"/>
      <c r="G320" s="32"/>
      <c r="H320" s="32"/>
      <c r="I320" s="31"/>
      <c r="J320" s="34" t="str">
        <f aca="true">IF(TRIM(A320)="","",IF(D320="Выполнено","Выполнено",IF(OR(C320="Срочно",AND(F320&lt;&gt;"",F320&lt;=TODAY())),"Срочные",IF(OR(D320="Отложено",C320="Низкий",AND(F320&lt;&gt;"",F320&gt;TODAY()+Справочники!$H$2)),"Плановые","Текущие"))))</f>
        <v/>
      </c>
      <c r="K320" s="35" t="str">
        <f aca="true">IF(OR(A320="",D320="Выполнено"),"",IF(F320="",IF(AND(G320&lt;&gt;"",G320&lt;&gt;"Разово"),"↻ "&amp;G320,""),IF(F320&lt;TODAY(),"Просрочено на "&amp;(TODAY()-F320)&amp;" дн.",IF(F320=TODAY(),"Сегодня",IF(F320=TODAY()+1,"Завтра","Через "&amp;(F320-TODAY())&amp;" дн.")))))</f>
        <v/>
      </c>
      <c r="L320" s="0" t="str">
        <f aca="true">IF(J320="","",(IF(AND(F320&lt;&gt;"",F320&lt;TODAY()),0,1)*10000000+IFERROR(MATCH(C320,{"Срочно","Высокий","Средний","Низкий"},0),5)*100000+IF(F320="",99999,F320))*1000+ROW())</f>
        <v/>
      </c>
      <c r="M320" s="0" t="str">
        <f aca="false">IF(AND($J320="Срочные",OR(Главная!$F$6="Все",$B320=Главная!$F$6),OR(Главная!$F$7="Все",$C320=Главная!$F$7)),$L320,"")</f>
        <v/>
      </c>
      <c r="N320" s="0" t="str">
        <f aca="false">IF(AND($J320="Текущие",OR(Главная!$F$6="Все",$B320=Главная!$F$6),OR(Главная!$F$7="Все",$C320=Главная!$F$7)),$L320,"")</f>
        <v/>
      </c>
      <c r="O320" s="0" t="str">
        <f aca="false">IF(AND($J320="Плановые",OR(Главная!$F$6="Все",$B320=Главная!$F$6),OR(Главная!$F$7="Все",$C320=Главная!$F$7)),$L320,"")</f>
        <v/>
      </c>
      <c r="P320" s="0" t="str">
        <f aca="false">IF(J320="Выполнено",ROW(),"")</f>
        <v/>
      </c>
    </row>
    <row r="321" customFormat="false" ht="21.75" hidden="false" customHeight="true" outlineLevel="0" collapsed="false">
      <c r="A321" s="31"/>
      <c r="B321" s="31"/>
      <c r="C321" s="32"/>
      <c r="D321" s="32"/>
      <c r="E321" s="33"/>
      <c r="F321" s="33"/>
      <c r="G321" s="32"/>
      <c r="H321" s="32"/>
      <c r="I321" s="31"/>
      <c r="J321" s="34" t="str">
        <f aca="true">IF(TRIM(A321)="","",IF(D321="Выполнено","Выполнено",IF(OR(C321="Срочно",AND(F321&lt;&gt;"",F321&lt;=TODAY())),"Срочные",IF(OR(D321="Отложено",C321="Низкий",AND(F321&lt;&gt;"",F321&gt;TODAY()+Справочники!$H$2)),"Плановые","Текущие"))))</f>
        <v/>
      </c>
      <c r="K321" s="35" t="str">
        <f aca="true">IF(OR(A321="",D321="Выполнено"),"",IF(F321="",IF(AND(G321&lt;&gt;"",G321&lt;&gt;"Разово"),"↻ "&amp;G321,""),IF(F321&lt;TODAY(),"Просрочено на "&amp;(TODAY()-F321)&amp;" дн.",IF(F321=TODAY(),"Сегодня",IF(F321=TODAY()+1,"Завтра","Через "&amp;(F321-TODAY())&amp;" дн.")))))</f>
        <v/>
      </c>
      <c r="L321" s="0" t="str">
        <f aca="true">IF(J321="","",(IF(AND(F321&lt;&gt;"",F321&lt;TODAY()),0,1)*10000000+IFERROR(MATCH(C321,{"Срочно","Высокий","Средний","Низкий"},0),5)*100000+IF(F321="",99999,F321))*1000+ROW())</f>
        <v/>
      </c>
      <c r="M321" s="0" t="str">
        <f aca="false">IF(AND($J321="Срочные",OR(Главная!$F$6="Все",$B321=Главная!$F$6),OR(Главная!$F$7="Все",$C321=Главная!$F$7)),$L321,"")</f>
        <v/>
      </c>
      <c r="N321" s="0" t="str">
        <f aca="false">IF(AND($J321="Текущие",OR(Главная!$F$6="Все",$B321=Главная!$F$6),OR(Главная!$F$7="Все",$C321=Главная!$F$7)),$L321,"")</f>
        <v/>
      </c>
      <c r="O321" s="0" t="str">
        <f aca="false">IF(AND($J321="Плановые",OR(Главная!$F$6="Все",$B321=Главная!$F$6),OR(Главная!$F$7="Все",$C321=Главная!$F$7)),$L321,"")</f>
        <v/>
      </c>
      <c r="P321" s="0" t="str">
        <f aca="false">IF(J321="Выполнено",ROW(),"")</f>
        <v/>
      </c>
    </row>
    <row r="322" customFormat="false" ht="21.75" hidden="false" customHeight="true" outlineLevel="0" collapsed="false">
      <c r="A322" s="31"/>
      <c r="B322" s="31"/>
      <c r="C322" s="32"/>
      <c r="D322" s="32"/>
      <c r="E322" s="33"/>
      <c r="F322" s="33"/>
      <c r="G322" s="32"/>
      <c r="H322" s="32"/>
      <c r="I322" s="31"/>
      <c r="J322" s="34" t="str">
        <f aca="true">IF(TRIM(A322)="","",IF(D322="Выполнено","Выполнено",IF(OR(C322="Срочно",AND(F322&lt;&gt;"",F322&lt;=TODAY())),"Срочные",IF(OR(D322="Отложено",C322="Низкий",AND(F322&lt;&gt;"",F322&gt;TODAY()+Справочники!$H$2)),"Плановые","Текущие"))))</f>
        <v/>
      </c>
      <c r="K322" s="35" t="str">
        <f aca="true">IF(OR(A322="",D322="Выполнено"),"",IF(F322="",IF(AND(G322&lt;&gt;"",G322&lt;&gt;"Разово"),"↻ "&amp;G322,""),IF(F322&lt;TODAY(),"Просрочено на "&amp;(TODAY()-F322)&amp;" дн.",IF(F322=TODAY(),"Сегодня",IF(F322=TODAY()+1,"Завтра","Через "&amp;(F322-TODAY())&amp;" дн.")))))</f>
        <v/>
      </c>
      <c r="L322" s="0" t="str">
        <f aca="true">IF(J322="","",(IF(AND(F322&lt;&gt;"",F322&lt;TODAY()),0,1)*10000000+IFERROR(MATCH(C322,{"Срочно","Высокий","Средний","Низкий"},0),5)*100000+IF(F322="",99999,F322))*1000+ROW())</f>
        <v/>
      </c>
      <c r="M322" s="0" t="str">
        <f aca="false">IF(AND($J322="Срочные",OR(Главная!$F$6="Все",$B322=Главная!$F$6),OR(Главная!$F$7="Все",$C322=Главная!$F$7)),$L322,"")</f>
        <v/>
      </c>
      <c r="N322" s="0" t="str">
        <f aca="false">IF(AND($J322="Текущие",OR(Главная!$F$6="Все",$B322=Главная!$F$6),OR(Главная!$F$7="Все",$C322=Главная!$F$7)),$L322,"")</f>
        <v/>
      </c>
      <c r="O322" s="0" t="str">
        <f aca="false">IF(AND($J322="Плановые",OR(Главная!$F$6="Все",$B322=Главная!$F$6),OR(Главная!$F$7="Все",$C322=Главная!$F$7)),$L322,"")</f>
        <v/>
      </c>
      <c r="P322" s="0" t="str">
        <f aca="false">IF(J322="Выполнено",ROW(),"")</f>
        <v/>
      </c>
    </row>
    <row r="323" customFormat="false" ht="21.75" hidden="false" customHeight="true" outlineLevel="0" collapsed="false">
      <c r="A323" s="31"/>
      <c r="B323" s="31"/>
      <c r="C323" s="32"/>
      <c r="D323" s="32"/>
      <c r="E323" s="33"/>
      <c r="F323" s="33"/>
      <c r="G323" s="32"/>
      <c r="H323" s="32"/>
      <c r="I323" s="31"/>
      <c r="J323" s="34" t="str">
        <f aca="true">IF(TRIM(A323)="","",IF(D323="Выполнено","Выполнено",IF(OR(C323="Срочно",AND(F323&lt;&gt;"",F323&lt;=TODAY())),"Срочные",IF(OR(D323="Отложено",C323="Низкий",AND(F323&lt;&gt;"",F323&gt;TODAY()+Справочники!$H$2)),"Плановые","Текущие"))))</f>
        <v/>
      </c>
      <c r="K323" s="35" t="str">
        <f aca="true">IF(OR(A323="",D323="Выполнено"),"",IF(F323="",IF(AND(G323&lt;&gt;"",G323&lt;&gt;"Разово"),"↻ "&amp;G323,""),IF(F323&lt;TODAY(),"Просрочено на "&amp;(TODAY()-F323)&amp;" дн.",IF(F323=TODAY(),"Сегодня",IF(F323=TODAY()+1,"Завтра","Через "&amp;(F323-TODAY())&amp;" дн.")))))</f>
        <v/>
      </c>
      <c r="L323" s="0" t="str">
        <f aca="true">IF(J323="","",(IF(AND(F323&lt;&gt;"",F323&lt;TODAY()),0,1)*10000000+IFERROR(MATCH(C323,{"Срочно","Высокий","Средний","Низкий"},0),5)*100000+IF(F323="",99999,F323))*1000+ROW())</f>
        <v/>
      </c>
      <c r="M323" s="0" t="str">
        <f aca="false">IF(AND($J323="Срочные",OR(Главная!$F$6="Все",$B323=Главная!$F$6),OR(Главная!$F$7="Все",$C323=Главная!$F$7)),$L323,"")</f>
        <v/>
      </c>
      <c r="N323" s="0" t="str">
        <f aca="false">IF(AND($J323="Текущие",OR(Главная!$F$6="Все",$B323=Главная!$F$6),OR(Главная!$F$7="Все",$C323=Главная!$F$7)),$L323,"")</f>
        <v/>
      </c>
      <c r="O323" s="0" t="str">
        <f aca="false">IF(AND($J323="Плановые",OR(Главная!$F$6="Все",$B323=Главная!$F$6),OR(Главная!$F$7="Все",$C323=Главная!$F$7)),$L323,"")</f>
        <v/>
      </c>
      <c r="P323" s="0" t="str">
        <f aca="false">IF(J323="Выполнено",ROW(),"")</f>
        <v/>
      </c>
    </row>
    <row r="324" customFormat="false" ht="21.75" hidden="false" customHeight="true" outlineLevel="0" collapsed="false">
      <c r="A324" s="31"/>
      <c r="B324" s="31"/>
      <c r="C324" s="32"/>
      <c r="D324" s="32"/>
      <c r="E324" s="33"/>
      <c r="F324" s="33"/>
      <c r="G324" s="32"/>
      <c r="H324" s="32"/>
      <c r="I324" s="31"/>
      <c r="J324" s="34" t="str">
        <f aca="true">IF(TRIM(A324)="","",IF(D324="Выполнено","Выполнено",IF(OR(C324="Срочно",AND(F324&lt;&gt;"",F324&lt;=TODAY())),"Срочные",IF(OR(D324="Отложено",C324="Низкий",AND(F324&lt;&gt;"",F324&gt;TODAY()+Справочники!$H$2)),"Плановые","Текущие"))))</f>
        <v/>
      </c>
      <c r="K324" s="35" t="str">
        <f aca="true">IF(OR(A324="",D324="Выполнено"),"",IF(F324="",IF(AND(G324&lt;&gt;"",G324&lt;&gt;"Разово"),"↻ "&amp;G324,""),IF(F324&lt;TODAY(),"Просрочено на "&amp;(TODAY()-F324)&amp;" дн.",IF(F324=TODAY(),"Сегодня",IF(F324=TODAY()+1,"Завтра","Через "&amp;(F324-TODAY())&amp;" дн.")))))</f>
        <v/>
      </c>
      <c r="L324" s="0" t="str">
        <f aca="true">IF(J324="","",(IF(AND(F324&lt;&gt;"",F324&lt;TODAY()),0,1)*10000000+IFERROR(MATCH(C324,{"Срочно","Высокий","Средний","Низкий"},0),5)*100000+IF(F324="",99999,F324))*1000+ROW())</f>
        <v/>
      </c>
      <c r="M324" s="0" t="str">
        <f aca="false">IF(AND($J324="Срочные",OR(Главная!$F$6="Все",$B324=Главная!$F$6),OR(Главная!$F$7="Все",$C324=Главная!$F$7)),$L324,"")</f>
        <v/>
      </c>
      <c r="N324" s="0" t="str">
        <f aca="false">IF(AND($J324="Текущие",OR(Главная!$F$6="Все",$B324=Главная!$F$6),OR(Главная!$F$7="Все",$C324=Главная!$F$7)),$L324,"")</f>
        <v/>
      </c>
      <c r="O324" s="0" t="str">
        <f aca="false">IF(AND($J324="Плановые",OR(Главная!$F$6="Все",$B324=Главная!$F$6),OR(Главная!$F$7="Все",$C324=Главная!$F$7)),$L324,"")</f>
        <v/>
      </c>
      <c r="P324" s="0" t="str">
        <f aca="false">IF(J324="Выполнено",ROW(),"")</f>
        <v/>
      </c>
    </row>
    <row r="325" customFormat="false" ht="21.75" hidden="false" customHeight="true" outlineLevel="0" collapsed="false">
      <c r="A325" s="31"/>
      <c r="B325" s="31"/>
      <c r="C325" s="32"/>
      <c r="D325" s="32"/>
      <c r="E325" s="33"/>
      <c r="F325" s="33"/>
      <c r="G325" s="32"/>
      <c r="H325" s="32"/>
      <c r="I325" s="31"/>
      <c r="J325" s="34" t="str">
        <f aca="true">IF(TRIM(A325)="","",IF(D325="Выполнено","Выполнено",IF(OR(C325="Срочно",AND(F325&lt;&gt;"",F325&lt;=TODAY())),"Срочные",IF(OR(D325="Отложено",C325="Низкий",AND(F325&lt;&gt;"",F325&gt;TODAY()+Справочники!$H$2)),"Плановые","Текущие"))))</f>
        <v/>
      </c>
      <c r="K325" s="35" t="str">
        <f aca="true">IF(OR(A325="",D325="Выполнено"),"",IF(F325="",IF(AND(G325&lt;&gt;"",G325&lt;&gt;"Разово"),"↻ "&amp;G325,""),IF(F325&lt;TODAY(),"Просрочено на "&amp;(TODAY()-F325)&amp;" дн.",IF(F325=TODAY(),"Сегодня",IF(F325=TODAY()+1,"Завтра","Через "&amp;(F325-TODAY())&amp;" дн.")))))</f>
        <v/>
      </c>
      <c r="L325" s="0" t="str">
        <f aca="true">IF(J325="","",(IF(AND(F325&lt;&gt;"",F325&lt;TODAY()),0,1)*10000000+IFERROR(MATCH(C325,{"Срочно","Высокий","Средний","Низкий"},0),5)*100000+IF(F325="",99999,F325))*1000+ROW())</f>
        <v/>
      </c>
      <c r="M325" s="0" t="str">
        <f aca="false">IF(AND($J325="Срочные",OR(Главная!$F$6="Все",$B325=Главная!$F$6),OR(Главная!$F$7="Все",$C325=Главная!$F$7)),$L325,"")</f>
        <v/>
      </c>
      <c r="N325" s="0" t="str">
        <f aca="false">IF(AND($J325="Текущие",OR(Главная!$F$6="Все",$B325=Главная!$F$6),OR(Главная!$F$7="Все",$C325=Главная!$F$7)),$L325,"")</f>
        <v/>
      </c>
      <c r="O325" s="0" t="str">
        <f aca="false">IF(AND($J325="Плановые",OR(Главная!$F$6="Все",$B325=Главная!$F$6),OR(Главная!$F$7="Все",$C325=Главная!$F$7)),$L325,"")</f>
        <v/>
      </c>
      <c r="P325" s="0" t="str">
        <f aca="false">IF(J325="Выполнено",ROW(),"")</f>
        <v/>
      </c>
    </row>
    <row r="326" customFormat="false" ht="21.75" hidden="false" customHeight="true" outlineLevel="0" collapsed="false">
      <c r="A326" s="31"/>
      <c r="B326" s="31"/>
      <c r="C326" s="32"/>
      <c r="D326" s="32"/>
      <c r="E326" s="33"/>
      <c r="F326" s="33"/>
      <c r="G326" s="32"/>
      <c r="H326" s="32"/>
      <c r="I326" s="31"/>
      <c r="J326" s="34" t="str">
        <f aca="true">IF(TRIM(A326)="","",IF(D326="Выполнено","Выполнено",IF(OR(C326="Срочно",AND(F326&lt;&gt;"",F326&lt;=TODAY())),"Срочные",IF(OR(D326="Отложено",C326="Низкий",AND(F326&lt;&gt;"",F326&gt;TODAY()+Справочники!$H$2)),"Плановые","Текущие"))))</f>
        <v/>
      </c>
      <c r="K326" s="35" t="str">
        <f aca="true">IF(OR(A326="",D326="Выполнено"),"",IF(F326="",IF(AND(G326&lt;&gt;"",G326&lt;&gt;"Разово"),"↻ "&amp;G326,""),IF(F326&lt;TODAY(),"Просрочено на "&amp;(TODAY()-F326)&amp;" дн.",IF(F326=TODAY(),"Сегодня",IF(F326=TODAY()+1,"Завтра","Через "&amp;(F326-TODAY())&amp;" дн.")))))</f>
        <v/>
      </c>
      <c r="L326" s="0" t="str">
        <f aca="true">IF(J326="","",(IF(AND(F326&lt;&gt;"",F326&lt;TODAY()),0,1)*10000000+IFERROR(MATCH(C326,{"Срочно","Высокий","Средний","Низкий"},0),5)*100000+IF(F326="",99999,F326))*1000+ROW())</f>
        <v/>
      </c>
      <c r="M326" s="0" t="str">
        <f aca="false">IF(AND($J326="Срочные",OR(Главная!$F$6="Все",$B326=Главная!$F$6),OR(Главная!$F$7="Все",$C326=Главная!$F$7)),$L326,"")</f>
        <v/>
      </c>
      <c r="N326" s="0" t="str">
        <f aca="false">IF(AND($J326="Текущие",OR(Главная!$F$6="Все",$B326=Главная!$F$6),OR(Главная!$F$7="Все",$C326=Главная!$F$7)),$L326,"")</f>
        <v/>
      </c>
      <c r="O326" s="0" t="str">
        <f aca="false">IF(AND($J326="Плановые",OR(Главная!$F$6="Все",$B326=Главная!$F$6),OR(Главная!$F$7="Все",$C326=Главная!$F$7)),$L326,"")</f>
        <v/>
      </c>
      <c r="P326" s="0" t="str">
        <f aca="false">IF(J326="Выполнено",ROW(),"")</f>
        <v/>
      </c>
    </row>
    <row r="327" customFormat="false" ht="21.75" hidden="false" customHeight="true" outlineLevel="0" collapsed="false">
      <c r="A327" s="31"/>
      <c r="B327" s="31"/>
      <c r="C327" s="32"/>
      <c r="D327" s="32"/>
      <c r="E327" s="33"/>
      <c r="F327" s="33"/>
      <c r="G327" s="32"/>
      <c r="H327" s="32"/>
      <c r="I327" s="31"/>
      <c r="J327" s="34" t="str">
        <f aca="true">IF(TRIM(A327)="","",IF(D327="Выполнено","Выполнено",IF(OR(C327="Срочно",AND(F327&lt;&gt;"",F327&lt;=TODAY())),"Срочные",IF(OR(D327="Отложено",C327="Низкий",AND(F327&lt;&gt;"",F327&gt;TODAY()+Справочники!$H$2)),"Плановые","Текущие"))))</f>
        <v/>
      </c>
      <c r="K327" s="35" t="str">
        <f aca="true">IF(OR(A327="",D327="Выполнено"),"",IF(F327="",IF(AND(G327&lt;&gt;"",G327&lt;&gt;"Разово"),"↻ "&amp;G327,""),IF(F327&lt;TODAY(),"Просрочено на "&amp;(TODAY()-F327)&amp;" дн.",IF(F327=TODAY(),"Сегодня",IF(F327=TODAY()+1,"Завтра","Через "&amp;(F327-TODAY())&amp;" дн.")))))</f>
        <v/>
      </c>
      <c r="L327" s="0" t="str">
        <f aca="true">IF(J327="","",(IF(AND(F327&lt;&gt;"",F327&lt;TODAY()),0,1)*10000000+IFERROR(MATCH(C327,{"Срочно","Высокий","Средний","Низкий"},0),5)*100000+IF(F327="",99999,F327))*1000+ROW())</f>
        <v/>
      </c>
      <c r="M327" s="0" t="str">
        <f aca="false">IF(AND($J327="Срочные",OR(Главная!$F$6="Все",$B327=Главная!$F$6),OR(Главная!$F$7="Все",$C327=Главная!$F$7)),$L327,"")</f>
        <v/>
      </c>
      <c r="N327" s="0" t="str">
        <f aca="false">IF(AND($J327="Текущие",OR(Главная!$F$6="Все",$B327=Главная!$F$6),OR(Главная!$F$7="Все",$C327=Главная!$F$7)),$L327,"")</f>
        <v/>
      </c>
      <c r="O327" s="0" t="str">
        <f aca="false">IF(AND($J327="Плановые",OR(Главная!$F$6="Все",$B327=Главная!$F$6),OR(Главная!$F$7="Все",$C327=Главная!$F$7)),$L327,"")</f>
        <v/>
      </c>
      <c r="P327" s="0" t="str">
        <f aca="false">IF(J327="Выполнено",ROW(),"")</f>
        <v/>
      </c>
    </row>
    <row r="328" customFormat="false" ht="21.75" hidden="false" customHeight="true" outlineLevel="0" collapsed="false">
      <c r="A328" s="31"/>
      <c r="B328" s="31"/>
      <c r="C328" s="32"/>
      <c r="D328" s="32"/>
      <c r="E328" s="33"/>
      <c r="F328" s="33"/>
      <c r="G328" s="32"/>
      <c r="H328" s="32"/>
      <c r="I328" s="31"/>
      <c r="J328" s="34" t="str">
        <f aca="true">IF(TRIM(A328)="","",IF(D328="Выполнено","Выполнено",IF(OR(C328="Срочно",AND(F328&lt;&gt;"",F328&lt;=TODAY())),"Срочные",IF(OR(D328="Отложено",C328="Низкий",AND(F328&lt;&gt;"",F328&gt;TODAY()+Справочники!$H$2)),"Плановые","Текущие"))))</f>
        <v/>
      </c>
      <c r="K328" s="35" t="str">
        <f aca="true">IF(OR(A328="",D328="Выполнено"),"",IF(F328="",IF(AND(G328&lt;&gt;"",G328&lt;&gt;"Разово"),"↻ "&amp;G328,""),IF(F328&lt;TODAY(),"Просрочено на "&amp;(TODAY()-F328)&amp;" дн.",IF(F328=TODAY(),"Сегодня",IF(F328=TODAY()+1,"Завтра","Через "&amp;(F328-TODAY())&amp;" дн.")))))</f>
        <v/>
      </c>
      <c r="L328" s="0" t="str">
        <f aca="true">IF(J328="","",(IF(AND(F328&lt;&gt;"",F328&lt;TODAY()),0,1)*10000000+IFERROR(MATCH(C328,{"Срочно","Высокий","Средний","Низкий"},0),5)*100000+IF(F328="",99999,F328))*1000+ROW())</f>
        <v/>
      </c>
      <c r="M328" s="0" t="str">
        <f aca="false">IF(AND($J328="Срочные",OR(Главная!$F$6="Все",$B328=Главная!$F$6),OR(Главная!$F$7="Все",$C328=Главная!$F$7)),$L328,"")</f>
        <v/>
      </c>
      <c r="N328" s="0" t="str">
        <f aca="false">IF(AND($J328="Текущие",OR(Главная!$F$6="Все",$B328=Главная!$F$6),OR(Главная!$F$7="Все",$C328=Главная!$F$7)),$L328,"")</f>
        <v/>
      </c>
      <c r="O328" s="0" t="str">
        <f aca="false">IF(AND($J328="Плановые",OR(Главная!$F$6="Все",$B328=Главная!$F$6),OR(Главная!$F$7="Все",$C328=Главная!$F$7)),$L328,"")</f>
        <v/>
      </c>
      <c r="P328" s="0" t="str">
        <f aca="false">IF(J328="Выполнено",ROW(),"")</f>
        <v/>
      </c>
    </row>
    <row r="329" customFormat="false" ht="21.75" hidden="false" customHeight="true" outlineLevel="0" collapsed="false">
      <c r="A329" s="31"/>
      <c r="B329" s="31"/>
      <c r="C329" s="32"/>
      <c r="D329" s="32"/>
      <c r="E329" s="33"/>
      <c r="F329" s="33"/>
      <c r="G329" s="32"/>
      <c r="H329" s="32"/>
      <c r="I329" s="31"/>
      <c r="J329" s="34" t="str">
        <f aca="true">IF(TRIM(A329)="","",IF(D329="Выполнено","Выполнено",IF(OR(C329="Срочно",AND(F329&lt;&gt;"",F329&lt;=TODAY())),"Срочные",IF(OR(D329="Отложено",C329="Низкий",AND(F329&lt;&gt;"",F329&gt;TODAY()+Справочники!$H$2)),"Плановые","Текущие"))))</f>
        <v/>
      </c>
      <c r="K329" s="35" t="str">
        <f aca="true">IF(OR(A329="",D329="Выполнено"),"",IF(F329="",IF(AND(G329&lt;&gt;"",G329&lt;&gt;"Разово"),"↻ "&amp;G329,""),IF(F329&lt;TODAY(),"Просрочено на "&amp;(TODAY()-F329)&amp;" дн.",IF(F329=TODAY(),"Сегодня",IF(F329=TODAY()+1,"Завтра","Через "&amp;(F329-TODAY())&amp;" дн.")))))</f>
        <v/>
      </c>
      <c r="L329" s="0" t="str">
        <f aca="true">IF(J329="","",(IF(AND(F329&lt;&gt;"",F329&lt;TODAY()),0,1)*10000000+IFERROR(MATCH(C329,{"Срочно","Высокий","Средний","Низкий"},0),5)*100000+IF(F329="",99999,F329))*1000+ROW())</f>
        <v/>
      </c>
      <c r="M329" s="0" t="str">
        <f aca="false">IF(AND($J329="Срочные",OR(Главная!$F$6="Все",$B329=Главная!$F$6),OR(Главная!$F$7="Все",$C329=Главная!$F$7)),$L329,"")</f>
        <v/>
      </c>
      <c r="N329" s="0" t="str">
        <f aca="false">IF(AND($J329="Текущие",OR(Главная!$F$6="Все",$B329=Главная!$F$6),OR(Главная!$F$7="Все",$C329=Главная!$F$7)),$L329,"")</f>
        <v/>
      </c>
      <c r="O329" s="0" t="str">
        <f aca="false">IF(AND($J329="Плановые",OR(Главная!$F$6="Все",$B329=Главная!$F$6),OR(Главная!$F$7="Все",$C329=Главная!$F$7)),$L329,"")</f>
        <v/>
      </c>
      <c r="P329" s="0" t="str">
        <f aca="false">IF(J329="Выполнено",ROW(),"")</f>
        <v/>
      </c>
    </row>
    <row r="330" customFormat="false" ht="21.75" hidden="false" customHeight="true" outlineLevel="0" collapsed="false">
      <c r="A330" s="31"/>
      <c r="B330" s="31"/>
      <c r="C330" s="32"/>
      <c r="D330" s="32"/>
      <c r="E330" s="33"/>
      <c r="F330" s="33"/>
      <c r="G330" s="32"/>
      <c r="H330" s="32"/>
      <c r="I330" s="31"/>
      <c r="J330" s="34" t="str">
        <f aca="true">IF(TRIM(A330)="","",IF(D330="Выполнено","Выполнено",IF(OR(C330="Срочно",AND(F330&lt;&gt;"",F330&lt;=TODAY())),"Срочные",IF(OR(D330="Отложено",C330="Низкий",AND(F330&lt;&gt;"",F330&gt;TODAY()+Справочники!$H$2)),"Плановые","Текущие"))))</f>
        <v/>
      </c>
      <c r="K330" s="35" t="str">
        <f aca="true">IF(OR(A330="",D330="Выполнено"),"",IF(F330="",IF(AND(G330&lt;&gt;"",G330&lt;&gt;"Разово"),"↻ "&amp;G330,""),IF(F330&lt;TODAY(),"Просрочено на "&amp;(TODAY()-F330)&amp;" дн.",IF(F330=TODAY(),"Сегодня",IF(F330=TODAY()+1,"Завтра","Через "&amp;(F330-TODAY())&amp;" дн.")))))</f>
        <v/>
      </c>
      <c r="L330" s="0" t="str">
        <f aca="true">IF(J330="","",(IF(AND(F330&lt;&gt;"",F330&lt;TODAY()),0,1)*10000000+IFERROR(MATCH(C330,{"Срочно","Высокий","Средний","Низкий"},0),5)*100000+IF(F330="",99999,F330))*1000+ROW())</f>
        <v/>
      </c>
      <c r="M330" s="0" t="str">
        <f aca="false">IF(AND($J330="Срочные",OR(Главная!$F$6="Все",$B330=Главная!$F$6),OR(Главная!$F$7="Все",$C330=Главная!$F$7)),$L330,"")</f>
        <v/>
      </c>
      <c r="N330" s="0" t="str">
        <f aca="false">IF(AND($J330="Текущие",OR(Главная!$F$6="Все",$B330=Главная!$F$6),OR(Главная!$F$7="Все",$C330=Главная!$F$7)),$L330,"")</f>
        <v/>
      </c>
      <c r="O330" s="0" t="str">
        <f aca="false">IF(AND($J330="Плановые",OR(Главная!$F$6="Все",$B330=Главная!$F$6),OR(Главная!$F$7="Все",$C330=Главная!$F$7)),$L330,"")</f>
        <v/>
      </c>
      <c r="P330" s="0" t="str">
        <f aca="false">IF(J330="Выполнено",ROW(),"")</f>
        <v/>
      </c>
    </row>
    <row r="331" customFormat="false" ht="21.75" hidden="false" customHeight="true" outlineLevel="0" collapsed="false">
      <c r="A331" s="31"/>
      <c r="B331" s="31"/>
      <c r="C331" s="32"/>
      <c r="D331" s="32"/>
      <c r="E331" s="33"/>
      <c r="F331" s="33"/>
      <c r="G331" s="32"/>
      <c r="H331" s="32"/>
      <c r="I331" s="31"/>
      <c r="J331" s="34" t="str">
        <f aca="true">IF(TRIM(A331)="","",IF(D331="Выполнено","Выполнено",IF(OR(C331="Срочно",AND(F331&lt;&gt;"",F331&lt;=TODAY())),"Срочные",IF(OR(D331="Отложено",C331="Низкий",AND(F331&lt;&gt;"",F331&gt;TODAY()+Справочники!$H$2)),"Плановые","Текущие"))))</f>
        <v/>
      </c>
      <c r="K331" s="35" t="str">
        <f aca="true">IF(OR(A331="",D331="Выполнено"),"",IF(F331="",IF(AND(G331&lt;&gt;"",G331&lt;&gt;"Разово"),"↻ "&amp;G331,""),IF(F331&lt;TODAY(),"Просрочено на "&amp;(TODAY()-F331)&amp;" дн.",IF(F331=TODAY(),"Сегодня",IF(F331=TODAY()+1,"Завтра","Через "&amp;(F331-TODAY())&amp;" дн.")))))</f>
        <v/>
      </c>
      <c r="L331" s="0" t="str">
        <f aca="true">IF(J331="","",(IF(AND(F331&lt;&gt;"",F331&lt;TODAY()),0,1)*10000000+IFERROR(MATCH(C331,{"Срочно","Высокий","Средний","Низкий"},0),5)*100000+IF(F331="",99999,F331))*1000+ROW())</f>
        <v/>
      </c>
      <c r="M331" s="0" t="str">
        <f aca="false">IF(AND($J331="Срочные",OR(Главная!$F$6="Все",$B331=Главная!$F$6),OR(Главная!$F$7="Все",$C331=Главная!$F$7)),$L331,"")</f>
        <v/>
      </c>
      <c r="N331" s="0" t="str">
        <f aca="false">IF(AND($J331="Текущие",OR(Главная!$F$6="Все",$B331=Главная!$F$6),OR(Главная!$F$7="Все",$C331=Главная!$F$7)),$L331,"")</f>
        <v/>
      </c>
      <c r="O331" s="0" t="str">
        <f aca="false">IF(AND($J331="Плановые",OR(Главная!$F$6="Все",$B331=Главная!$F$6),OR(Главная!$F$7="Все",$C331=Главная!$F$7)),$L331,"")</f>
        <v/>
      </c>
      <c r="P331" s="0" t="str">
        <f aca="false">IF(J331="Выполнено",ROW(),"")</f>
        <v/>
      </c>
    </row>
    <row r="332" customFormat="false" ht="21.75" hidden="false" customHeight="true" outlineLevel="0" collapsed="false">
      <c r="A332" s="31"/>
      <c r="B332" s="31"/>
      <c r="C332" s="32"/>
      <c r="D332" s="32"/>
      <c r="E332" s="33"/>
      <c r="F332" s="33"/>
      <c r="G332" s="32"/>
      <c r="H332" s="32"/>
      <c r="I332" s="31"/>
      <c r="J332" s="34" t="str">
        <f aca="true">IF(TRIM(A332)="","",IF(D332="Выполнено","Выполнено",IF(OR(C332="Срочно",AND(F332&lt;&gt;"",F332&lt;=TODAY())),"Срочные",IF(OR(D332="Отложено",C332="Низкий",AND(F332&lt;&gt;"",F332&gt;TODAY()+Справочники!$H$2)),"Плановые","Текущие"))))</f>
        <v/>
      </c>
      <c r="K332" s="35" t="str">
        <f aca="true">IF(OR(A332="",D332="Выполнено"),"",IF(F332="",IF(AND(G332&lt;&gt;"",G332&lt;&gt;"Разово"),"↻ "&amp;G332,""),IF(F332&lt;TODAY(),"Просрочено на "&amp;(TODAY()-F332)&amp;" дн.",IF(F332=TODAY(),"Сегодня",IF(F332=TODAY()+1,"Завтра","Через "&amp;(F332-TODAY())&amp;" дн.")))))</f>
        <v/>
      </c>
      <c r="L332" s="0" t="str">
        <f aca="true">IF(J332="","",(IF(AND(F332&lt;&gt;"",F332&lt;TODAY()),0,1)*10000000+IFERROR(MATCH(C332,{"Срочно","Высокий","Средний","Низкий"},0),5)*100000+IF(F332="",99999,F332))*1000+ROW())</f>
        <v/>
      </c>
      <c r="M332" s="0" t="str">
        <f aca="false">IF(AND($J332="Срочные",OR(Главная!$F$6="Все",$B332=Главная!$F$6),OR(Главная!$F$7="Все",$C332=Главная!$F$7)),$L332,"")</f>
        <v/>
      </c>
      <c r="N332" s="0" t="str">
        <f aca="false">IF(AND($J332="Текущие",OR(Главная!$F$6="Все",$B332=Главная!$F$6),OR(Главная!$F$7="Все",$C332=Главная!$F$7)),$L332,"")</f>
        <v/>
      </c>
      <c r="O332" s="0" t="str">
        <f aca="false">IF(AND($J332="Плановые",OR(Главная!$F$6="Все",$B332=Главная!$F$6),OR(Главная!$F$7="Все",$C332=Главная!$F$7)),$L332,"")</f>
        <v/>
      </c>
      <c r="P332" s="0" t="str">
        <f aca="false">IF(J332="Выполнено",ROW(),"")</f>
        <v/>
      </c>
    </row>
    <row r="333" customFormat="false" ht="21.75" hidden="false" customHeight="true" outlineLevel="0" collapsed="false">
      <c r="A333" s="31"/>
      <c r="B333" s="31"/>
      <c r="C333" s="32"/>
      <c r="D333" s="32"/>
      <c r="E333" s="33"/>
      <c r="F333" s="33"/>
      <c r="G333" s="32"/>
      <c r="H333" s="32"/>
      <c r="I333" s="31"/>
      <c r="J333" s="34" t="str">
        <f aca="true">IF(TRIM(A333)="","",IF(D333="Выполнено","Выполнено",IF(OR(C333="Срочно",AND(F333&lt;&gt;"",F333&lt;=TODAY())),"Срочные",IF(OR(D333="Отложено",C333="Низкий",AND(F333&lt;&gt;"",F333&gt;TODAY()+Справочники!$H$2)),"Плановые","Текущие"))))</f>
        <v/>
      </c>
      <c r="K333" s="35" t="str">
        <f aca="true">IF(OR(A333="",D333="Выполнено"),"",IF(F333="",IF(AND(G333&lt;&gt;"",G333&lt;&gt;"Разово"),"↻ "&amp;G333,""),IF(F333&lt;TODAY(),"Просрочено на "&amp;(TODAY()-F333)&amp;" дн.",IF(F333=TODAY(),"Сегодня",IF(F333=TODAY()+1,"Завтра","Через "&amp;(F333-TODAY())&amp;" дн.")))))</f>
        <v/>
      </c>
      <c r="L333" s="0" t="str">
        <f aca="true">IF(J333="","",(IF(AND(F333&lt;&gt;"",F333&lt;TODAY()),0,1)*10000000+IFERROR(MATCH(C333,{"Срочно","Высокий","Средний","Низкий"},0),5)*100000+IF(F333="",99999,F333))*1000+ROW())</f>
        <v/>
      </c>
      <c r="M333" s="0" t="str">
        <f aca="false">IF(AND($J333="Срочные",OR(Главная!$F$6="Все",$B333=Главная!$F$6),OR(Главная!$F$7="Все",$C333=Главная!$F$7)),$L333,"")</f>
        <v/>
      </c>
      <c r="N333" s="0" t="str">
        <f aca="false">IF(AND($J333="Текущие",OR(Главная!$F$6="Все",$B333=Главная!$F$6),OR(Главная!$F$7="Все",$C333=Главная!$F$7)),$L333,"")</f>
        <v/>
      </c>
      <c r="O333" s="0" t="str">
        <f aca="false">IF(AND($J333="Плановые",OR(Главная!$F$6="Все",$B333=Главная!$F$6),OR(Главная!$F$7="Все",$C333=Главная!$F$7)),$L333,"")</f>
        <v/>
      </c>
      <c r="P333" s="0" t="str">
        <f aca="false">IF(J333="Выполнено",ROW(),"")</f>
        <v/>
      </c>
    </row>
    <row r="334" customFormat="false" ht="21.75" hidden="false" customHeight="true" outlineLevel="0" collapsed="false">
      <c r="A334" s="31"/>
      <c r="B334" s="31"/>
      <c r="C334" s="32"/>
      <c r="D334" s="32"/>
      <c r="E334" s="33"/>
      <c r="F334" s="33"/>
      <c r="G334" s="32"/>
      <c r="H334" s="32"/>
      <c r="I334" s="31"/>
      <c r="J334" s="34" t="str">
        <f aca="true">IF(TRIM(A334)="","",IF(D334="Выполнено","Выполнено",IF(OR(C334="Срочно",AND(F334&lt;&gt;"",F334&lt;=TODAY())),"Срочные",IF(OR(D334="Отложено",C334="Низкий",AND(F334&lt;&gt;"",F334&gt;TODAY()+Справочники!$H$2)),"Плановые","Текущие"))))</f>
        <v/>
      </c>
      <c r="K334" s="35" t="str">
        <f aca="true">IF(OR(A334="",D334="Выполнено"),"",IF(F334="",IF(AND(G334&lt;&gt;"",G334&lt;&gt;"Разово"),"↻ "&amp;G334,""),IF(F334&lt;TODAY(),"Просрочено на "&amp;(TODAY()-F334)&amp;" дн.",IF(F334=TODAY(),"Сегодня",IF(F334=TODAY()+1,"Завтра","Через "&amp;(F334-TODAY())&amp;" дн.")))))</f>
        <v/>
      </c>
      <c r="L334" s="0" t="str">
        <f aca="true">IF(J334="","",(IF(AND(F334&lt;&gt;"",F334&lt;TODAY()),0,1)*10000000+IFERROR(MATCH(C334,{"Срочно","Высокий","Средний","Низкий"},0),5)*100000+IF(F334="",99999,F334))*1000+ROW())</f>
        <v/>
      </c>
      <c r="M334" s="0" t="str">
        <f aca="false">IF(AND($J334="Срочные",OR(Главная!$F$6="Все",$B334=Главная!$F$6),OR(Главная!$F$7="Все",$C334=Главная!$F$7)),$L334,"")</f>
        <v/>
      </c>
      <c r="N334" s="0" t="str">
        <f aca="false">IF(AND($J334="Текущие",OR(Главная!$F$6="Все",$B334=Главная!$F$6),OR(Главная!$F$7="Все",$C334=Главная!$F$7)),$L334,"")</f>
        <v/>
      </c>
      <c r="O334" s="0" t="str">
        <f aca="false">IF(AND($J334="Плановые",OR(Главная!$F$6="Все",$B334=Главная!$F$6),OR(Главная!$F$7="Все",$C334=Главная!$F$7)),$L334,"")</f>
        <v/>
      </c>
      <c r="P334" s="0" t="str">
        <f aca="false">IF(J334="Выполнено",ROW(),"")</f>
        <v/>
      </c>
    </row>
    <row r="335" customFormat="false" ht="21.75" hidden="false" customHeight="true" outlineLevel="0" collapsed="false">
      <c r="A335" s="31"/>
      <c r="B335" s="31"/>
      <c r="C335" s="32"/>
      <c r="D335" s="32"/>
      <c r="E335" s="33"/>
      <c r="F335" s="33"/>
      <c r="G335" s="32"/>
      <c r="H335" s="32"/>
      <c r="I335" s="31"/>
      <c r="J335" s="34" t="str">
        <f aca="true">IF(TRIM(A335)="","",IF(D335="Выполнено","Выполнено",IF(OR(C335="Срочно",AND(F335&lt;&gt;"",F335&lt;=TODAY())),"Срочные",IF(OR(D335="Отложено",C335="Низкий",AND(F335&lt;&gt;"",F335&gt;TODAY()+Справочники!$H$2)),"Плановые","Текущие"))))</f>
        <v/>
      </c>
      <c r="K335" s="35" t="str">
        <f aca="true">IF(OR(A335="",D335="Выполнено"),"",IF(F335="",IF(AND(G335&lt;&gt;"",G335&lt;&gt;"Разово"),"↻ "&amp;G335,""),IF(F335&lt;TODAY(),"Просрочено на "&amp;(TODAY()-F335)&amp;" дн.",IF(F335=TODAY(),"Сегодня",IF(F335=TODAY()+1,"Завтра","Через "&amp;(F335-TODAY())&amp;" дн.")))))</f>
        <v/>
      </c>
      <c r="L335" s="0" t="str">
        <f aca="true">IF(J335="","",(IF(AND(F335&lt;&gt;"",F335&lt;TODAY()),0,1)*10000000+IFERROR(MATCH(C335,{"Срочно","Высокий","Средний","Низкий"},0),5)*100000+IF(F335="",99999,F335))*1000+ROW())</f>
        <v/>
      </c>
      <c r="M335" s="0" t="str">
        <f aca="false">IF(AND($J335="Срочные",OR(Главная!$F$6="Все",$B335=Главная!$F$6),OR(Главная!$F$7="Все",$C335=Главная!$F$7)),$L335,"")</f>
        <v/>
      </c>
      <c r="N335" s="0" t="str">
        <f aca="false">IF(AND($J335="Текущие",OR(Главная!$F$6="Все",$B335=Главная!$F$6),OR(Главная!$F$7="Все",$C335=Главная!$F$7)),$L335,"")</f>
        <v/>
      </c>
      <c r="O335" s="0" t="str">
        <f aca="false">IF(AND($J335="Плановые",OR(Главная!$F$6="Все",$B335=Главная!$F$6),OR(Главная!$F$7="Все",$C335=Главная!$F$7)),$L335,"")</f>
        <v/>
      </c>
      <c r="P335" s="0" t="str">
        <f aca="false">IF(J335="Выполнено",ROW(),"")</f>
        <v/>
      </c>
    </row>
    <row r="336" customFormat="false" ht="21.75" hidden="false" customHeight="true" outlineLevel="0" collapsed="false">
      <c r="A336" s="31"/>
      <c r="B336" s="31"/>
      <c r="C336" s="32"/>
      <c r="D336" s="32"/>
      <c r="E336" s="33"/>
      <c r="F336" s="33"/>
      <c r="G336" s="32"/>
      <c r="H336" s="32"/>
      <c r="I336" s="31"/>
      <c r="J336" s="34" t="str">
        <f aca="true">IF(TRIM(A336)="","",IF(D336="Выполнено","Выполнено",IF(OR(C336="Срочно",AND(F336&lt;&gt;"",F336&lt;=TODAY())),"Срочные",IF(OR(D336="Отложено",C336="Низкий",AND(F336&lt;&gt;"",F336&gt;TODAY()+Справочники!$H$2)),"Плановые","Текущие"))))</f>
        <v/>
      </c>
      <c r="K336" s="35" t="str">
        <f aca="true">IF(OR(A336="",D336="Выполнено"),"",IF(F336="",IF(AND(G336&lt;&gt;"",G336&lt;&gt;"Разово"),"↻ "&amp;G336,""),IF(F336&lt;TODAY(),"Просрочено на "&amp;(TODAY()-F336)&amp;" дн.",IF(F336=TODAY(),"Сегодня",IF(F336=TODAY()+1,"Завтра","Через "&amp;(F336-TODAY())&amp;" дн.")))))</f>
        <v/>
      </c>
      <c r="L336" s="0" t="str">
        <f aca="true">IF(J336="","",(IF(AND(F336&lt;&gt;"",F336&lt;TODAY()),0,1)*10000000+IFERROR(MATCH(C336,{"Срочно","Высокий","Средний","Низкий"},0),5)*100000+IF(F336="",99999,F336))*1000+ROW())</f>
        <v/>
      </c>
      <c r="M336" s="0" t="str">
        <f aca="false">IF(AND($J336="Срочные",OR(Главная!$F$6="Все",$B336=Главная!$F$6),OR(Главная!$F$7="Все",$C336=Главная!$F$7)),$L336,"")</f>
        <v/>
      </c>
      <c r="N336" s="0" t="str">
        <f aca="false">IF(AND($J336="Текущие",OR(Главная!$F$6="Все",$B336=Главная!$F$6),OR(Главная!$F$7="Все",$C336=Главная!$F$7)),$L336,"")</f>
        <v/>
      </c>
      <c r="O336" s="0" t="str">
        <f aca="false">IF(AND($J336="Плановые",OR(Главная!$F$6="Все",$B336=Главная!$F$6),OR(Главная!$F$7="Все",$C336=Главная!$F$7)),$L336,"")</f>
        <v/>
      </c>
      <c r="P336" s="0" t="str">
        <f aca="false">IF(J336="Выполнено",ROW(),"")</f>
        <v/>
      </c>
    </row>
    <row r="337" customFormat="false" ht="21.75" hidden="false" customHeight="true" outlineLevel="0" collapsed="false">
      <c r="A337" s="31"/>
      <c r="B337" s="31"/>
      <c r="C337" s="32"/>
      <c r="D337" s="32"/>
      <c r="E337" s="33"/>
      <c r="F337" s="33"/>
      <c r="G337" s="32"/>
      <c r="H337" s="32"/>
      <c r="I337" s="31"/>
      <c r="J337" s="34" t="str">
        <f aca="true">IF(TRIM(A337)="","",IF(D337="Выполнено","Выполнено",IF(OR(C337="Срочно",AND(F337&lt;&gt;"",F337&lt;=TODAY())),"Срочные",IF(OR(D337="Отложено",C337="Низкий",AND(F337&lt;&gt;"",F337&gt;TODAY()+Справочники!$H$2)),"Плановые","Текущие"))))</f>
        <v/>
      </c>
      <c r="K337" s="35" t="str">
        <f aca="true">IF(OR(A337="",D337="Выполнено"),"",IF(F337="",IF(AND(G337&lt;&gt;"",G337&lt;&gt;"Разово"),"↻ "&amp;G337,""),IF(F337&lt;TODAY(),"Просрочено на "&amp;(TODAY()-F337)&amp;" дн.",IF(F337=TODAY(),"Сегодня",IF(F337=TODAY()+1,"Завтра","Через "&amp;(F337-TODAY())&amp;" дн.")))))</f>
        <v/>
      </c>
      <c r="L337" s="0" t="str">
        <f aca="true">IF(J337="","",(IF(AND(F337&lt;&gt;"",F337&lt;TODAY()),0,1)*10000000+IFERROR(MATCH(C337,{"Срочно","Высокий","Средний","Низкий"},0),5)*100000+IF(F337="",99999,F337))*1000+ROW())</f>
        <v/>
      </c>
      <c r="M337" s="0" t="str">
        <f aca="false">IF(AND($J337="Срочные",OR(Главная!$F$6="Все",$B337=Главная!$F$6),OR(Главная!$F$7="Все",$C337=Главная!$F$7)),$L337,"")</f>
        <v/>
      </c>
      <c r="N337" s="0" t="str">
        <f aca="false">IF(AND($J337="Текущие",OR(Главная!$F$6="Все",$B337=Главная!$F$6),OR(Главная!$F$7="Все",$C337=Главная!$F$7)),$L337,"")</f>
        <v/>
      </c>
      <c r="O337" s="0" t="str">
        <f aca="false">IF(AND($J337="Плановые",OR(Главная!$F$6="Все",$B337=Главная!$F$6),OR(Главная!$F$7="Все",$C337=Главная!$F$7)),$L337,"")</f>
        <v/>
      </c>
      <c r="P337" s="0" t="str">
        <f aca="false">IF(J337="Выполнено",ROW(),"")</f>
        <v/>
      </c>
    </row>
    <row r="338" customFormat="false" ht="21.75" hidden="false" customHeight="true" outlineLevel="0" collapsed="false">
      <c r="A338" s="31"/>
      <c r="B338" s="31"/>
      <c r="C338" s="32"/>
      <c r="D338" s="32"/>
      <c r="E338" s="33"/>
      <c r="F338" s="33"/>
      <c r="G338" s="32"/>
      <c r="H338" s="32"/>
      <c r="I338" s="31"/>
      <c r="J338" s="34" t="str">
        <f aca="true">IF(TRIM(A338)="","",IF(D338="Выполнено","Выполнено",IF(OR(C338="Срочно",AND(F338&lt;&gt;"",F338&lt;=TODAY())),"Срочные",IF(OR(D338="Отложено",C338="Низкий",AND(F338&lt;&gt;"",F338&gt;TODAY()+Справочники!$H$2)),"Плановые","Текущие"))))</f>
        <v/>
      </c>
      <c r="K338" s="35" t="str">
        <f aca="true">IF(OR(A338="",D338="Выполнено"),"",IF(F338="",IF(AND(G338&lt;&gt;"",G338&lt;&gt;"Разово"),"↻ "&amp;G338,""),IF(F338&lt;TODAY(),"Просрочено на "&amp;(TODAY()-F338)&amp;" дн.",IF(F338=TODAY(),"Сегодня",IF(F338=TODAY()+1,"Завтра","Через "&amp;(F338-TODAY())&amp;" дн.")))))</f>
        <v/>
      </c>
      <c r="L338" s="0" t="str">
        <f aca="true">IF(J338="","",(IF(AND(F338&lt;&gt;"",F338&lt;TODAY()),0,1)*10000000+IFERROR(MATCH(C338,{"Срочно","Высокий","Средний","Низкий"},0),5)*100000+IF(F338="",99999,F338))*1000+ROW())</f>
        <v/>
      </c>
      <c r="M338" s="0" t="str">
        <f aca="false">IF(AND($J338="Срочные",OR(Главная!$F$6="Все",$B338=Главная!$F$6),OR(Главная!$F$7="Все",$C338=Главная!$F$7)),$L338,"")</f>
        <v/>
      </c>
      <c r="N338" s="0" t="str">
        <f aca="false">IF(AND($J338="Текущие",OR(Главная!$F$6="Все",$B338=Главная!$F$6),OR(Главная!$F$7="Все",$C338=Главная!$F$7)),$L338,"")</f>
        <v/>
      </c>
      <c r="O338" s="0" t="str">
        <f aca="false">IF(AND($J338="Плановые",OR(Главная!$F$6="Все",$B338=Главная!$F$6),OR(Главная!$F$7="Все",$C338=Главная!$F$7)),$L338,"")</f>
        <v/>
      </c>
      <c r="P338" s="0" t="str">
        <f aca="false">IF(J338="Выполнено",ROW(),"")</f>
        <v/>
      </c>
    </row>
    <row r="339" customFormat="false" ht="21.75" hidden="false" customHeight="true" outlineLevel="0" collapsed="false">
      <c r="A339" s="31"/>
      <c r="B339" s="31"/>
      <c r="C339" s="32"/>
      <c r="D339" s="32"/>
      <c r="E339" s="33"/>
      <c r="F339" s="33"/>
      <c r="G339" s="32"/>
      <c r="H339" s="32"/>
      <c r="I339" s="31"/>
      <c r="J339" s="34" t="str">
        <f aca="true">IF(TRIM(A339)="","",IF(D339="Выполнено","Выполнено",IF(OR(C339="Срочно",AND(F339&lt;&gt;"",F339&lt;=TODAY())),"Срочные",IF(OR(D339="Отложено",C339="Низкий",AND(F339&lt;&gt;"",F339&gt;TODAY()+Справочники!$H$2)),"Плановые","Текущие"))))</f>
        <v/>
      </c>
      <c r="K339" s="35" t="str">
        <f aca="true">IF(OR(A339="",D339="Выполнено"),"",IF(F339="",IF(AND(G339&lt;&gt;"",G339&lt;&gt;"Разово"),"↻ "&amp;G339,""),IF(F339&lt;TODAY(),"Просрочено на "&amp;(TODAY()-F339)&amp;" дн.",IF(F339=TODAY(),"Сегодня",IF(F339=TODAY()+1,"Завтра","Через "&amp;(F339-TODAY())&amp;" дн.")))))</f>
        <v/>
      </c>
      <c r="L339" s="0" t="str">
        <f aca="true">IF(J339="","",(IF(AND(F339&lt;&gt;"",F339&lt;TODAY()),0,1)*10000000+IFERROR(MATCH(C339,{"Срочно","Высокий","Средний","Низкий"},0),5)*100000+IF(F339="",99999,F339))*1000+ROW())</f>
        <v/>
      </c>
      <c r="M339" s="0" t="str">
        <f aca="false">IF(AND($J339="Срочные",OR(Главная!$F$6="Все",$B339=Главная!$F$6),OR(Главная!$F$7="Все",$C339=Главная!$F$7)),$L339,"")</f>
        <v/>
      </c>
      <c r="N339" s="0" t="str">
        <f aca="false">IF(AND($J339="Текущие",OR(Главная!$F$6="Все",$B339=Главная!$F$6),OR(Главная!$F$7="Все",$C339=Главная!$F$7)),$L339,"")</f>
        <v/>
      </c>
      <c r="O339" s="0" t="str">
        <f aca="false">IF(AND($J339="Плановые",OR(Главная!$F$6="Все",$B339=Главная!$F$6),OR(Главная!$F$7="Все",$C339=Главная!$F$7)),$L339,"")</f>
        <v/>
      </c>
      <c r="P339" s="0" t="str">
        <f aca="false">IF(J339="Выполнено",ROW(),"")</f>
        <v/>
      </c>
    </row>
    <row r="340" customFormat="false" ht="21.75" hidden="false" customHeight="true" outlineLevel="0" collapsed="false">
      <c r="A340" s="31"/>
      <c r="B340" s="31"/>
      <c r="C340" s="32"/>
      <c r="D340" s="32"/>
      <c r="E340" s="33"/>
      <c r="F340" s="33"/>
      <c r="G340" s="32"/>
      <c r="H340" s="32"/>
      <c r="I340" s="31"/>
      <c r="J340" s="34" t="str">
        <f aca="true">IF(TRIM(A340)="","",IF(D340="Выполнено","Выполнено",IF(OR(C340="Срочно",AND(F340&lt;&gt;"",F340&lt;=TODAY())),"Срочные",IF(OR(D340="Отложено",C340="Низкий",AND(F340&lt;&gt;"",F340&gt;TODAY()+Справочники!$H$2)),"Плановые","Текущие"))))</f>
        <v/>
      </c>
      <c r="K340" s="35" t="str">
        <f aca="true">IF(OR(A340="",D340="Выполнено"),"",IF(F340="",IF(AND(G340&lt;&gt;"",G340&lt;&gt;"Разово"),"↻ "&amp;G340,""),IF(F340&lt;TODAY(),"Просрочено на "&amp;(TODAY()-F340)&amp;" дн.",IF(F340=TODAY(),"Сегодня",IF(F340=TODAY()+1,"Завтра","Через "&amp;(F340-TODAY())&amp;" дн.")))))</f>
        <v/>
      </c>
      <c r="L340" s="0" t="str">
        <f aca="true">IF(J340="","",(IF(AND(F340&lt;&gt;"",F340&lt;TODAY()),0,1)*10000000+IFERROR(MATCH(C340,{"Срочно","Высокий","Средний","Низкий"},0),5)*100000+IF(F340="",99999,F340))*1000+ROW())</f>
        <v/>
      </c>
      <c r="M340" s="0" t="str">
        <f aca="false">IF(AND($J340="Срочные",OR(Главная!$F$6="Все",$B340=Главная!$F$6),OR(Главная!$F$7="Все",$C340=Главная!$F$7)),$L340,"")</f>
        <v/>
      </c>
      <c r="N340" s="0" t="str">
        <f aca="false">IF(AND($J340="Текущие",OR(Главная!$F$6="Все",$B340=Главная!$F$6),OR(Главная!$F$7="Все",$C340=Главная!$F$7)),$L340,"")</f>
        <v/>
      </c>
      <c r="O340" s="0" t="str">
        <f aca="false">IF(AND($J340="Плановые",OR(Главная!$F$6="Все",$B340=Главная!$F$6),OR(Главная!$F$7="Все",$C340=Главная!$F$7)),$L340,"")</f>
        <v/>
      </c>
      <c r="P340" s="0" t="str">
        <f aca="false">IF(J340="Выполнено",ROW(),"")</f>
        <v/>
      </c>
    </row>
    <row r="341" customFormat="false" ht="21.75" hidden="false" customHeight="true" outlineLevel="0" collapsed="false">
      <c r="A341" s="31"/>
      <c r="B341" s="31"/>
      <c r="C341" s="32"/>
      <c r="D341" s="32"/>
      <c r="E341" s="33"/>
      <c r="F341" s="33"/>
      <c r="G341" s="32"/>
      <c r="H341" s="32"/>
      <c r="I341" s="31"/>
      <c r="J341" s="34" t="str">
        <f aca="true">IF(TRIM(A341)="","",IF(D341="Выполнено","Выполнено",IF(OR(C341="Срочно",AND(F341&lt;&gt;"",F341&lt;=TODAY())),"Срочные",IF(OR(D341="Отложено",C341="Низкий",AND(F341&lt;&gt;"",F341&gt;TODAY()+Справочники!$H$2)),"Плановые","Текущие"))))</f>
        <v/>
      </c>
      <c r="K341" s="35" t="str">
        <f aca="true">IF(OR(A341="",D341="Выполнено"),"",IF(F341="",IF(AND(G341&lt;&gt;"",G341&lt;&gt;"Разово"),"↻ "&amp;G341,""),IF(F341&lt;TODAY(),"Просрочено на "&amp;(TODAY()-F341)&amp;" дн.",IF(F341=TODAY(),"Сегодня",IF(F341=TODAY()+1,"Завтра","Через "&amp;(F341-TODAY())&amp;" дн.")))))</f>
        <v/>
      </c>
      <c r="L341" s="0" t="str">
        <f aca="true">IF(J341="","",(IF(AND(F341&lt;&gt;"",F341&lt;TODAY()),0,1)*10000000+IFERROR(MATCH(C341,{"Срочно","Высокий","Средний","Низкий"},0),5)*100000+IF(F341="",99999,F341))*1000+ROW())</f>
        <v/>
      </c>
      <c r="M341" s="0" t="str">
        <f aca="false">IF(AND($J341="Срочные",OR(Главная!$F$6="Все",$B341=Главная!$F$6),OR(Главная!$F$7="Все",$C341=Главная!$F$7)),$L341,"")</f>
        <v/>
      </c>
      <c r="N341" s="0" t="str">
        <f aca="false">IF(AND($J341="Текущие",OR(Главная!$F$6="Все",$B341=Главная!$F$6),OR(Главная!$F$7="Все",$C341=Главная!$F$7)),$L341,"")</f>
        <v/>
      </c>
      <c r="O341" s="0" t="str">
        <f aca="false">IF(AND($J341="Плановые",OR(Главная!$F$6="Все",$B341=Главная!$F$6),OR(Главная!$F$7="Все",$C341=Главная!$F$7)),$L341,"")</f>
        <v/>
      </c>
      <c r="P341" s="0" t="str">
        <f aca="false">IF(J341="Выполнено",ROW(),"")</f>
        <v/>
      </c>
    </row>
    <row r="342" customFormat="false" ht="21.75" hidden="false" customHeight="true" outlineLevel="0" collapsed="false">
      <c r="A342" s="31"/>
      <c r="B342" s="31"/>
      <c r="C342" s="32"/>
      <c r="D342" s="32"/>
      <c r="E342" s="33"/>
      <c r="F342" s="33"/>
      <c r="G342" s="32"/>
      <c r="H342" s="32"/>
      <c r="I342" s="31"/>
      <c r="J342" s="34" t="str">
        <f aca="true">IF(TRIM(A342)="","",IF(D342="Выполнено","Выполнено",IF(OR(C342="Срочно",AND(F342&lt;&gt;"",F342&lt;=TODAY())),"Срочные",IF(OR(D342="Отложено",C342="Низкий",AND(F342&lt;&gt;"",F342&gt;TODAY()+Справочники!$H$2)),"Плановые","Текущие"))))</f>
        <v/>
      </c>
      <c r="K342" s="35" t="str">
        <f aca="true">IF(OR(A342="",D342="Выполнено"),"",IF(F342="",IF(AND(G342&lt;&gt;"",G342&lt;&gt;"Разово"),"↻ "&amp;G342,""),IF(F342&lt;TODAY(),"Просрочено на "&amp;(TODAY()-F342)&amp;" дн.",IF(F342=TODAY(),"Сегодня",IF(F342=TODAY()+1,"Завтра","Через "&amp;(F342-TODAY())&amp;" дн.")))))</f>
        <v/>
      </c>
      <c r="L342" s="0" t="str">
        <f aca="true">IF(J342="","",(IF(AND(F342&lt;&gt;"",F342&lt;TODAY()),0,1)*10000000+IFERROR(MATCH(C342,{"Срочно","Высокий","Средний","Низкий"},0),5)*100000+IF(F342="",99999,F342))*1000+ROW())</f>
        <v/>
      </c>
      <c r="M342" s="0" t="str">
        <f aca="false">IF(AND($J342="Срочные",OR(Главная!$F$6="Все",$B342=Главная!$F$6),OR(Главная!$F$7="Все",$C342=Главная!$F$7)),$L342,"")</f>
        <v/>
      </c>
      <c r="N342" s="0" t="str">
        <f aca="false">IF(AND($J342="Текущие",OR(Главная!$F$6="Все",$B342=Главная!$F$6),OR(Главная!$F$7="Все",$C342=Главная!$F$7)),$L342,"")</f>
        <v/>
      </c>
      <c r="O342" s="0" t="str">
        <f aca="false">IF(AND($J342="Плановые",OR(Главная!$F$6="Все",$B342=Главная!$F$6),OR(Главная!$F$7="Все",$C342=Главная!$F$7)),$L342,"")</f>
        <v/>
      </c>
      <c r="P342" s="0" t="str">
        <f aca="false">IF(J342="Выполнено",ROW(),"")</f>
        <v/>
      </c>
    </row>
    <row r="343" customFormat="false" ht="21.75" hidden="false" customHeight="true" outlineLevel="0" collapsed="false">
      <c r="A343" s="31"/>
      <c r="B343" s="31"/>
      <c r="C343" s="32"/>
      <c r="D343" s="32"/>
      <c r="E343" s="33"/>
      <c r="F343" s="33"/>
      <c r="G343" s="32"/>
      <c r="H343" s="32"/>
      <c r="I343" s="31"/>
      <c r="J343" s="34" t="str">
        <f aca="true">IF(TRIM(A343)="","",IF(D343="Выполнено","Выполнено",IF(OR(C343="Срочно",AND(F343&lt;&gt;"",F343&lt;=TODAY())),"Срочные",IF(OR(D343="Отложено",C343="Низкий",AND(F343&lt;&gt;"",F343&gt;TODAY()+Справочники!$H$2)),"Плановые","Текущие"))))</f>
        <v/>
      </c>
      <c r="K343" s="35" t="str">
        <f aca="true">IF(OR(A343="",D343="Выполнено"),"",IF(F343="",IF(AND(G343&lt;&gt;"",G343&lt;&gt;"Разово"),"↻ "&amp;G343,""),IF(F343&lt;TODAY(),"Просрочено на "&amp;(TODAY()-F343)&amp;" дн.",IF(F343=TODAY(),"Сегодня",IF(F343=TODAY()+1,"Завтра","Через "&amp;(F343-TODAY())&amp;" дн.")))))</f>
        <v/>
      </c>
      <c r="L343" s="0" t="str">
        <f aca="true">IF(J343="","",(IF(AND(F343&lt;&gt;"",F343&lt;TODAY()),0,1)*10000000+IFERROR(MATCH(C343,{"Срочно","Высокий","Средний","Низкий"},0),5)*100000+IF(F343="",99999,F343))*1000+ROW())</f>
        <v/>
      </c>
      <c r="M343" s="0" t="str">
        <f aca="false">IF(AND($J343="Срочные",OR(Главная!$F$6="Все",$B343=Главная!$F$6),OR(Главная!$F$7="Все",$C343=Главная!$F$7)),$L343,"")</f>
        <v/>
      </c>
      <c r="N343" s="0" t="str">
        <f aca="false">IF(AND($J343="Текущие",OR(Главная!$F$6="Все",$B343=Главная!$F$6),OR(Главная!$F$7="Все",$C343=Главная!$F$7)),$L343,"")</f>
        <v/>
      </c>
      <c r="O343" s="0" t="str">
        <f aca="false">IF(AND($J343="Плановые",OR(Главная!$F$6="Все",$B343=Главная!$F$6),OR(Главная!$F$7="Все",$C343=Главная!$F$7)),$L343,"")</f>
        <v/>
      </c>
      <c r="P343" s="0" t="str">
        <f aca="false">IF(J343="Выполнено",ROW(),"")</f>
        <v/>
      </c>
    </row>
    <row r="344" customFormat="false" ht="21.75" hidden="false" customHeight="true" outlineLevel="0" collapsed="false">
      <c r="A344" s="31"/>
      <c r="B344" s="31"/>
      <c r="C344" s="32"/>
      <c r="D344" s="32"/>
      <c r="E344" s="33"/>
      <c r="F344" s="33"/>
      <c r="G344" s="32"/>
      <c r="H344" s="32"/>
      <c r="I344" s="31"/>
      <c r="J344" s="34" t="str">
        <f aca="true">IF(TRIM(A344)="","",IF(D344="Выполнено","Выполнено",IF(OR(C344="Срочно",AND(F344&lt;&gt;"",F344&lt;=TODAY())),"Срочные",IF(OR(D344="Отложено",C344="Низкий",AND(F344&lt;&gt;"",F344&gt;TODAY()+Справочники!$H$2)),"Плановые","Текущие"))))</f>
        <v/>
      </c>
      <c r="K344" s="35" t="str">
        <f aca="true">IF(OR(A344="",D344="Выполнено"),"",IF(F344="",IF(AND(G344&lt;&gt;"",G344&lt;&gt;"Разово"),"↻ "&amp;G344,""),IF(F344&lt;TODAY(),"Просрочено на "&amp;(TODAY()-F344)&amp;" дн.",IF(F344=TODAY(),"Сегодня",IF(F344=TODAY()+1,"Завтра","Через "&amp;(F344-TODAY())&amp;" дн.")))))</f>
        <v/>
      </c>
      <c r="L344" s="0" t="str">
        <f aca="true">IF(J344="","",(IF(AND(F344&lt;&gt;"",F344&lt;TODAY()),0,1)*10000000+IFERROR(MATCH(C344,{"Срочно","Высокий","Средний","Низкий"},0),5)*100000+IF(F344="",99999,F344))*1000+ROW())</f>
        <v/>
      </c>
      <c r="M344" s="0" t="str">
        <f aca="false">IF(AND($J344="Срочные",OR(Главная!$F$6="Все",$B344=Главная!$F$6),OR(Главная!$F$7="Все",$C344=Главная!$F$7)),$L344,"")</f>
        <v/>
      </c>
      <c r="N344" s="0" t="str">
        <f aca="false">IF(AND($J344="Текущие",OR(Главная!$F$6="Все",$B344=Главная!$F$6),OR(Главная!$F$7="Все",$C344=Главная!$F$7)),$L344,"")</f>
        <v/>
      </c>
      <c r="O344" s="0" t="str">
        <f aca="false">IF(AND($J344="Плановые",OR(Главная!$F$6="Все",$B344=Главная!$F$6),OR(Главная!$F$7="Все",$C344=Главная!$F$7)),$L344,"")</f>
        <v/>
      </c>
      <c r="P344" s="0" t="str">
        <f aca="false">IF(J344="Выполнено",ROW(),"")</f>
        <v/>
      </c>
    </row>
    <row r="345" customFormat="false" ht="21.75" hidden="false" customHeight="true" outlineLevel="0" collapsed="false">
      <c r="A345" s="31"/>
      <c r="B345" s="31"/>
      <c r="C345" s="32"/>
      <c r="D345" s="32"/>
      <c r="E345" s="33"/>
      <c r="F345" s="33"/>
      <c r="G345" s="32"/>
      <c r="H345" s="32"/>
      <c r="I345" s="31"/>
      <c r="J345" s="34" t="str">
        <f aca="true">IF(TRIM(A345)="","",IF(D345="Выполнено","Выполнено",IF(OR(C345="Срочно",AND(F345&lt;&gt;"",F345&lt;=TODAY())),"Срочные",IF(OR(D345="Отложено",C345="Низкий",AND(F345&lt;&gt;"",F345&gt;TODAY()+Справочники!$H$2)),"Плановые","Текущие"))))</f>
        <v/>
      </c>
      <c r="K345" s="35" t="str">
        <f aca="true">IF(OR(A345="",D345="Выполнено"),"",IF(F345="",IF(AND(G345&lt;&gt;"",G345&lt;&gt;"Разово"),"↻ "&amp;G345,""),IF(F345&lt;TODAY(),"Просрочено на "&amp;(TODAY()-F345)&amp;" дн.",IF(F345=TODAY(),"Сегодня",IF(F345=TODAY()+1,"Завтра","Через "&amp;(F345-TODAY())&amp;" дн.")))))</f>
        <v/>
      </c>
      <c r="L345" s="0" t="str">
        <f aca="true">IF(J345="","",(IF(AND(F345&lt;&gt;"",F345&lt;TODAY()),0,1)*10000000+IFERROR(MATCH(C345,{"Срочно","Высокий","Средний","Низкий"},0),5)*100000+IF(F345="",99999,F345))*1000+ROW())</f>
        <v/>
      </c>
      <c r="M345" s="0" t="str">
        <f aca="false">IF(AND($J345="Срочные",OR(Главная!$F$6="Все",$B345=Главная!$F$6),OR(Главная!$F$7="Все",$C345=Главная!$F$7)),$L345,"")</f>
        <v/>
      </c>
      <c r="N345" s="0" t="str">
        <f aca="false">IF(AND($J345="Текущие",OR(Главная!$F$6="Все",$B345=Главная!$F$6),OR(Главная!$F$7="Все",$C345=Главная!$F$7)),$L345,"")</f>
        <v/>
      </c>
      <c r="O345" s="0" t="str">
        <f aca="false">IF(AND($J345="Плановые",OR(Главная!$F$6="Все",$B345=Главная!$F$6),OR(Главная!$F$7="Все",$C345=Главная!$F$7)),$L345,"")</f>
        <v/>
      </c>
      <c r="P345" s="0" t="str">
        <f aca="false">IF(J345="Выполнено",ROW(),"")</f>
        <v/>
      </c>
    </row>
    <row r="346" customFormat="false" ht="21.75" hidden="false" customHeight="true" outlineLevel="0" collapsed="false">
      <c r="A346" s="31"/>
      <c r="B346" s="31"/>
      <c r="C346" s="32"/>
      <c r="D346" s="32"/>
      <c r="E346" s="33"/>
      <c r="F346" s="33"/>
      <c r="G346" s="32"/>
      <c r="H346" s="32"/>
      <c r="I346" s="31"/>
      <c r="J346" s="34" t="str">
        <f aca="true">IF(TRIM(A346)="","",IF(D346="Выполнено","Выполнено",IF(OR(C346="Срочно",AND(F346&lt;&gt;"",F346&lt;=TODAY())),"Срочные",IF(OR(D346="Отложено",C346="Низкий",AND(F346&lt;&gt;"",F346&gt;TODAY()+Справочники!$H$2)),"Плановые","Текущие"))))</f>
        <v/>
      </c>
      <c r="K346" s="35" t="str">
        <f aca="true">IF(OR(A346="",D346="Выполнено"),"",IF(F346="",IF(AND(G346&lt;&gt;"",G346&lt;&gt;"Разово"),"↻ "&amp;G346,""),IF(F346&lt;TODAY(),"Просрочено на "&amp;(TODAY()-F346)&amp;" дн.",IF(F346=TODAY(),"Сегодня",IF(F346=TODAY()+1,"Завтра","Через "&amp;(F346-TODAY())&amp;" дн.")))))</f>
        <v/>
      </c>
      <c r="L346" s="0" t="str">
        <f aca="true">IF(J346="","",(IF(AND(F346&lt;&gt;"",F346&lt;TODAY()),0,1)*10000000+IFERROR(MATCH(C346,{"Срочно","Высокий","Средний","Низкий"},0),5)*100000+IF(F346="",99999,F346))*1000+ROW())</f>
        <v/>
      </c>
      <c r="M346" s="0" t="str">
        <f aca="false">IF(AND($J346="Срочные",OR(Главная!$F$6="Все",$B346=Главная!$F$6),OR(Главная!$F$7="Все",$C346=Главная!$F$7)),$L346,"")</f>
        <v/>
      </c>
      <c r="N346" s="0" t="str">
        <f aca="false">IF(AND($J346="Текущие",OR(Главная!$F$6="Все",$B346=Главная!$F$6),OR(Главная!$F$7="Все",$C346=Главная!$F$7)),$L346,"")</f>
        <v/>
      </c>
      <c r="O346" s="0" t="str">
        <f aca="false">IF(AND($J346="Плановые",OR(Главная!$F$6="Все",$B346=Главная!$F$6),OR(Главная!$F$7="Все",$C346=Главная!$F$7)),$L346,"")</f>
        <v/>
      </c>
      <c r="P346" s="0" t="str">
        <f aca="false">IF(J346="Выполнено",ROW(),"")</f>
        <v/>
      </c>
    </row>
    <row r="347" customFormat="false" ht="21.75" hidden="false" customHeight="true" outlineLevel="0" collapsed="false">
      <c r="A347" s="31"/>
      <c r="B347" s="31"/>
      <c r="C347" s="32"/>
      <c r="D347" s="32"/>
      <c r="E347" s="33"/>
      <c r="F347" s="33"/>
      <c r="G347" s="32"/>
      <c r="H347" s="32"/>
      <c r="I347" s="31"/>
      <c r="J347" s="34" t="str">
        <f aca="true">IF(TRIM(A347)="","",IF(D347="Выполнено","Выполнено",IF(OR(C347="Срочно",AND(F347&lt;&gt;"",F347&lt;=TODAY())),"Срочные",IF(OR(D347="Отложено",C347="Низкий",AND(F347&lt;&gt;"",F347&gt;TODAY()+Справочники!$H$2)),"Плановые","Текущие"))))</f>
        <v/>
      </c>
      <c r="K347" s="35" t="str">
        <f aca="true">IF(OR(A347="",D347="Выполнено"),"",IF(F347="",IF(AND(G347&lt;&gt;"",G347&lt;&gt;"Разово"),"↻ "&amp;G347,""),IF(F347&lt;TODAY(),"Просрочено на "&amp;(TODAY()-F347)&amp;" дн.",IF(F347=TODAY(),"Сегодня",IF(F347=TODAY()+1,"Завтра","Через "&amp;(F347-TODAY())&amp;" дн.")))))</f>
        <v/>
      </c>
      <c r="L347" s="0" t="str">
        <f aca="true">IF(J347="","",(IF(AND(F347&lt;&gt;"",F347&lt;TODAY()),0,1)*10000000+IFERROR(MATCH(C347,{"Срочно","Высокий","Средний","Низкий"},0),5)*100000+IF(F347="",99999,F347))*1000+ROW())</f>
        <v/>
      </c>
      <c r="M347" s="0" t="str">
        <f aca="false">IF(AND($J347="Срочные",OR(Главная!$F$6="Все",$B347=Главная!$F$6),OR(Главная!$F$7="Все",$C347=Главная!$F$7)),$L347,"")</f>
        <v/>
      </c>
      <c r="N347" s="0" t="str">
        <f aca="false">IF(AND($J347="Текущие",OR(Главная!$F$6="Все",$B347=Главная!$F$6),OR(Главная!$F$7="Все",$C347=Главная!$F$7)),$L347,"")</f>
        <v/>
      </c>
      <c r="O347" s="0" t="str">
        <f aca="false">IF(AND($J347="Плановые",OR(Главная!$F$6="Все",$B347=Главная!$F$6),OR(Главная!$F$7="Все",$C347=Главная!$F$7)),$L347,"")</f>
        <v/>
      </c>
      <c r="P347" s="0" t="str">
        <f aca="false">IF(J347="Выполнено",ROW(),"")</f>
        <v/>
      </c>
    </row>
    <row r="348" customFormat="false" ht="21.75" hidden="false" customHeight="true" outlineLevel="0" collapsed="false">
      <c r="A348" s="31"/>
      <c r="B348" s="31"/>
      <c r="C348" s="32"/>
      <c r="D348" s="32"/>
      <c r="E348" s="33"/>
      <c r="F348" s="33"/>
      <c r="G348" s="32"/>
      <c r="H348" s="32"/>
      <c r="I348" s="31"/>
      <c r="J348" s="34" t="str">
        <f aca="true">IF(TRIM(A348)="","",IF(D348="Выполнено","Выполнено",IF(OR(C348="Срочно",AND(F348&lt;&gt;"",F348&lt;=TODAY())),"Срочные",IF(OR(D348="Отложено",C348="Низкий",AND(F348&lt;&gt;"",F348&gt;TODAY()+Справочники!$H$2)),"Плановые","Текущие"))))</f>
        <v/>
      </c>
      <c r="K348" s="35" t="str">
        <f aca="true">IF(OR(A348="",D348="Выполнено"),"",IF(F348="",IF(AND(G348&lt;&gt;"",G348&lt;&gt;"Разово"),"↻ "&amp;G348,""),IF(F348&lt;TODAY(),"Просрочено на "&amp;(TODAY()-F348)&amp;" дн.",IF(F348=TODAY(),"Сегодня",IF(F348=TODAY()+1,"Завтра","Через "&amp;(F348-TODAY())&amp;" дн.")))))</f>
        <v/>
      </c>
      <c r="L348" s="0" t="str">
        <f aca="true">IF(J348="","",(IF(AND(F348&lt;&gt;"",F348&lt;TODAY()),0,1)*10000000+IFERROR(MATCH(C348,{"Срочно","Высокий","Средний","Низкий"},0),5)*100000+IF(F348="",99999,F348))*1000+ROW())</f>
        <v/>
      </c>
      <c r="M348" s="0" t="str">
        <f aca="false">IF(AND($J348="Срочные",OR(Главная!$F$6="Все",$B348=Главная!$F$6),OR(Главная!$F$7="Все",$C348=Главная!$F$7)),$L348,"")</f>
        <v/>
      </c>
      <c r="N348" s="0" t="str">
        <f aca="false">IF(AND($J348="Текущие",OR(Главная!$F$6="Все",$B348=Главная!$F$6),OR(Главная!$F$7="Все",$C348=Главная!$F$7)),$L348,"")</f>
        <v/>
      </c>
      <c r="O348" s="0" t="str">
        <f aca="false">IF(AND($J348="Плановые",OR(Главная!$F$6="Все",$B348=Главная!$F$6),OR(Главная!$F$7="Все",$C348=Главная!$F$7)),$L348,"")</f>
        <v/>
      </c>
      <c r="P348" s="0" t="str">
        <f aca="false">IF(J348="Выполнено",ROW(),"")</f>
        <v/>
      </c>
    </row>
    <row r="349" customFormat="false" ht="21.75" hidden="false" customHeight="true" outlineLevel="0" collapsed="false">
      <c r="A349" s="31"/>
      <c r="B349" s="31"/>
      <c r="C349" s="32"/>
      <c r="D349" s="32"/>
      <c r="E349" s="33"/>
      <c r="F349" s="33"/>
      <c r="G349" s="32"/>
      <c r="H349" s="32"/>
      <c r="I349" s="31"/>
      <c r="J349" s="34" t="str">
        <f aca="true">IF(TRIM(A349)="","",IF(D349="Выполнено","Выполнено",IF(OR(C349="Срочно",AND(F349&lt;&gt;"",F349&lt;=TODAY())),"Срочные",IF(OR(D349="Отложено",C349="Низкий",AND(F349&lt;&gt;"",F349&gt;TODAY()+Справочники!$H$2)),"Плановые","Текущие"))))</f>
        <v/>
      </c>
      <c r="K349" s="35" t="str">
        <f aca="true">IF(OR(A349="",D349="Выполнено"),"",IF(F349="",IF(AND(G349&lt;&gt;"",G349&lt;&gt;"Разово"),"↻ "&amp;G349,""),IF(F349&lt;TODAY(),"Просрочено на "&amp;(TODAY()-F349)&amp;" дн.",IF(F349=TODAY(),"Сегодня",IF(F349=TODAY()+1,"Завтра","Через "&amp;(F349-TODAY())&amp;" дн.")))))</f>
        <v/>
      </c>
      <c r="L349" s="0" t="str">
        <f aca="true">IF(J349="","",(IF(AND(F349&lt;&gt;"",F349&lt;TODAY()),0,1)*10000000+IFERROR(MATCH(C349,{"Срочно","Высокий","Средний","Низкий"},0),5)*100000+IF(F349="",99999,F349))*1000+ROW())</f>
        <v/>
      </c>
      <c r="M349" s="0" t="str">
        <f aca="false">IF(AND($J349="Срочные",OR(Главная!$F$6="Все",$B349=Главная!$F$6),OR(Главная!$F$7="Все",$C349=Главная!$F$7)),$L349,"")</f>
        <v/>
      </c>
      <c r="N349" s="0" t="str">
        <f aca="false">IF(AND($J349="Текущие",OR(Главная!$F$6="Все",$B349=Главная!$F$6),OR(Главная!$F$7="Все",$C349=Главная!$F$7)),$L349,"")</f>
        <v/>
      </c>
      <c r="O349" s="0" t="str">
        <f aca="false">IF(AND($J349="Плановые",OR(Главная!$F$6="Все",$B349=Главная!$F$6),OR(Главная!$F$7="Все",$C349=Главная!$F$7)),$L349,"")</f>
        <v/>
      </c>
      <c r="P349" s="0" t="str">
        <f aca="false">IF(J349="Выполнено",ROW(),"")</f>
        <v/>
      </c>
    </row>
    <row r="350" customFormat="false" ht="21.75" hidden="false" customHeight="true" outlineLevel="0" collapsed="false">
      <c r="A350" s="31"/>
      <c r="B350" s="31"/>
      <c r="C350" s="32"/>
      <c r="D350" s="32"/>
      <c r="E350" s="33"/>
      <c r="F350" s="33"/>
      <c r="G350" s="32"/>
      <c r="H350" s="32"/>
      <c r="I350" s="31"/>
      <c r="J350" s="34" t="str">
        <f aca="true">IF(TRIM(A350)="","",IF(D350="Выполнено","Выполнено",IF(OR(C350="Срочно",AND(F350&lt;&gt;"",F350&lt;=TODAY())),"Срочные",IF(OR(D350="Отложено",C350="Низкий",AND(F350&lt;&gt;"",F350&gt;TODAY()+Справочники!$H$2)),"Плановые","Текущие"))))</f>
        <v/>
      </c>
      <c r="K350" s="35" t="str">
        <f aca="true">IF(OR(A350="",D350="Выполнено"),"",IF(F350="",IF(AND(G350&lt;&gt;"",G350&lt;&gt;"Разово"),"↻ "&amp;G350,""),IF(F350&lt;TODAY(),"Просрочено на "&amp;(TODAY()-F350)&amp;" дн.",IF(F350=TODAY(),"Сегодня",IF(F350=TODAY()+1,"Завтра","Через "&amp;(F350-TODAY())&amp;" дн.")))))</f>
        <v/>
      </c>
      <c r="L350" s="0" t="str">
        <f aca="true">IF(J350="","",(IF(AND(F350&lt;&gt;"",F350&lt;TODAY()),0,1)*10000000+IFERROR(MATCH(C350,{"Срочно","Высокий","Средний","Низкий"},0),5)*100000+IF(F350="",99999,F350))*1000+ROW())</f>
        <v/>
      </c>
      <c r="M350" s="0" t="str">
        <f aca="false">IF(AND($J350="Срочные",OR(Главная!$F$6="Все",$B350=Главная!$F$6),OR(Главная!$F$7="Все",$C350=Главная!$F$7)),$L350,"")</f>
        <v/>
      </c>
      <c r="N350" s="0" t="str">
        <f aca="false">IF(AND($J350="Текущие",OR(Главная!$F$6="Все",$B350=Главная!$F$6),OR(Главная!$F$7="Все",$C350=Главная!$F$7)),$L350,"")</f>
        <v/>
      </c>
      <c r="O350" s="0" t="str">
        <f aca="false">IF(AND($J350="Плановые",OR(Главная!$F$6="Все",$B350=Главная!$F$6),OR(Главная!$F$7="Все",$C350=Главная!$F$7)),$L350,"")</f>
        <v/>
      </c>
      <c r="P350" s="0" t="str">
        <f aca="false">IF(J350="Выполнено",ROW(),"")</f>
        <v/>
      </c>
    </row>
    <row r="351" customFormat="false" ht="21.75" hidden="false" customHeight="true" outlineLevel="0" collapsed="false">
      <c r="A351" s="31"/>
      <c r="B351" s="31"/>
      <c r="C351" s="32"/>
      <c r="D351" s="32"/>
      <c r="E351" s="33"/>
      <c r="F351" s="33"/>
      <c r="G351" s="32"/>
      <c r="H351" s="32"/>
      <c r="I351" s="31"/>
      <c r="J351" s="34" t="str">
        <f aca="true">IF(TRIM(A351)="","",IF(D351="Выполнено","Выполнено",IF(OR(C351="Срочно",AND(F351&lt;&gt;"",F351&lt;=TODAY())),"Срочные",IF(OR(D351="Отложено",C351="Низкий",AND(F351&lt;&gt;"",F351&gt;TODAY()+Справочники!$H$2)),"Плановые","Текущие"))))</f>
        <v/>
      </c>
      <c r="K351" s="35" t="str">
        <f aca="true">IF(OR(A351="",D351="Выполнено"),"",IF(F351="",IF(AND(G351&lt;&gt;"",G351&lt;&gt;"Разово"),"↻ "&amp;G351,""),IF(F351&lt;TODAY(),"Просрочено на "&amp;(TODAY()-F351)&amp;" дн.",IF(F351=TODAY(),"Сегодня",IF(F351=TODAY()+1,"Завтра","Через "&amp;(F351-TODAY())&amp;" дн.")))))</f>
        <v/>
      </c>
      <c r="L351" s="0" t="str">
        <f aca="true">IF(J351="","",(IF(AND(F351&lt;&gt;"",F351&lt;TODAY()),0,1)*10000000+IFERROR(MATCH(C351,{"Срочно","Высокий","Средний","Низкий"},0),5)*100000+IF(F351="",99999,F351))*1000+ROW())</f>
        <v/>
      </c>
      <c r="M351" s="0" t="str">
        <f aca="false">IF(AND($J351="Срочные",OR(Главная!$F$6="Все",$B351=Главная!$F$6),OR(Главная!$F$7="Все",$C351=Главная!$F$7)),$L351,"")</f>
        <v/>
      </c>
      <c r="N351" s="0" t="str">
        <f aca="false">IF(AND($J351="Текущие",OR(Главная!$F$6="Все",$B351=Главная!$F$6),OR(Главная!$F$7="Все",$C351=Главная!$F$7)),$L351,"")</f>
        <v/>
      </c>
      <c r="O351" s="0" t="str">
        <f aca="false">IF(AND($J351="Плановые",OR(Главная!$F$6="Все",$B351=Главная!$F$6),OR(Главная!$F$7="Все",$C351=Главная!$F$7)),$L351,"")</f>
        <v/>
      </c>
      <c r="P351" s="0" t="str">
        <f aca="false">IF(J351="Выполнено",ROW(),"")</f>
        <v/>
      </c>
    </row>
    <row r="352" customFormat="false" ht="21.75" hidden="false" customHeight="true" outlineLevel="0" collapsed="false">
      <c r="A352" s="31"/>
      <c r="B352" s="31"/>
      <c r="C352" s="32"/>
      <c r="D352" s="32"/>
      <c r="E352" s="33"/>
      <c r="F352" s="33"/>
      <c r="G352" s="32"/>
      <c r="H352" s="32"/>
      <c r="I352" s="31"/>
      <c r="J352" s="34" t="str">
        <f aca="true">IF(TRIM(A352)="","",IF(D352="Выполнено","Выполнено",IF(OR(C352="Срочно",AND(F352&lt;&gt;"",F352&lt;=TODAY())),"Срочные",IF(OR(D352="Отложено",C352="Низкий",AND(F352&lt;&gt;"",F352&gt;TODAY()+Справочники!$H$2)),"Плановые","Текущие"))))</f>
        <v/>
      </c>
      <c r="K352" s="35" t="str">
        <f aca="true">IF(OR(A352="",D352="Выполнено"),"",IF(F352="",IF(AND(G352&lt;&gt;"",G352&lt;&gt;"Разово"),"↻ "&amp;G352,""),IF(F352&lt;TODAY(),"Просрочено на "&amp;(TODAY()-F352)&amp;" дн.",IF(F352=TODAY(),"Сегодня",IF(F352=TODAY()+1,"Завтра","Через "&amp;(F352-TODAY())&amp;" дн.")))))</f>
        <v/>
      </c>
      <c r="L352" s="0" t="str">
        <f aca="true">IF(J352="","",(IF(AND(F352&lt;&gt;"",F352&lt;TODAY()),0,1)*10000000+IFERROR(MATCH(C352,{"Срочно","Высокий","Средний","Низкий"},0),5)*100000+IF(F352="",99999,F352))*1000+ROW())</f>
        <v/>
      </c>
      <c r="M352" s="0" t="str">
        <f aca="false">IF(AND($J352="Срочные",OR(Главная!$F$6="Все",$B352=Главная!$F$6),OR(Главная!$F$7="Все",$C352=Главная!$F$7)),$L352,"")</f>
        <v/>
      </c>
      <c r="N352" s="0" t="str">
        <f aca="false">IF(AND($J352="Текущие",OR(Главная!$F$6="Все",$B352=Главная!$F$6),OR(Главная!$F$7="Все",$C352=Главная!$F$7)),$L352,"")</f>
        <v/>
      </c>
      <c r="O352" s="0" t="str">
        <f aca="false">IF(AND($J352="Плановые",OR(Главная!$F$6="Все",$B352=Главная!$F$6),OR(Главная!$F$7="Все",$C352=Главная!$F$7)),$L352,"")</f>
        <v/>
      </c>
      <c r="P352" s="0" t="str">
        <f aca="false">IF(J352="Выполнено",ROW(),"")</f>
        <v/>
      </c>
    </row>
    <row r="353" customFormat="false" ht="21.75" hidden="false" customHeight="true" outlineLevel="0" collapsed="false">
      <c r="A353" s="31"/>
      <c r="B353" s="31"/>
      <c r="C353" s="32"/>
      <c r="D353" s="32"/>
      <c r="E353" s="33"/>
      <c r="F353" s="33"/>
      <c r="G353" s="32"/>
      <c r="H353" s="32"/>
      <c r="I353" s="31"/>
      <c r="J353" s="34" t="str">
        <f aca="true">IF(TRIM(A353)="","",IF(D353="Выполнено","Выполнено",IF(OR(C353="Срочно",AND(F353&lt;&gt;"",F353&lt;=TODAY())),"Срочные",IF(OR(D353="Отложено",C353="Низкий",AND(F353&lt;&gt;"",F353&gt;TODAY()+Справочники!$H$2)),"Плановые","Текущие"))))</f>
        <v/>
      </c>
      <c r="K353" s="35" t="str">
        <f aca="true">IF(OR(A353="",D353="Выполнено"),"",IF(F353="",IF(AND(G353&lt;&gt;"",G353&lt;&gt;"Разово"),"↻ "&amp;G353,""),IF(F353&lt;TODAY(),"Просрочено на "&amp;(TODAY()-F353)&amp;" дн.",IF(F353=TODAY(),"Сегодня",IF(F353=TODAY()+1,"Завтра","Через "&amp;(F353-TODAY())&amp;" дн.")))))</f>
        <v/>
      </c>
      <c r="L353" s="0" t="str">
        <f aca="true">IF(J353="","",(IF(AND(F353&lt;&gt;"",F353&lt;TODAY()),0,1)*10000000+IFERROR(MATCH(C353,{"Срочно","Высокий","Средний","Низкий"},0),5)*100000+IF(F353="",99999,F353))*1000+ROW())</f>
        <v/>
      </c>
      <c r="M353" s="0" t="str">
        <f aca="false">IF(AND($J353="Срочные",OR(Главная!$F$6="Все",$B353=Главная!$F$6),OR(Главная!$F$7="Все",$C353=Главная!$F$7)),$L353,"")</f>
        <v/>
      </c>
      <c r="N353" s="0" t="str">
        <f aca="false">IF(AND($J353="Текущие",OR(Главная!$F$6="Все",$B353=Главная!$F$6),OR(Главная!$F$7="Все",$C353=Главная!$F$7)),$L353,"")</f>
        <v/>
      </c>
      <c r="O353" s="0" t="str">
        <f aca="false">IF(AND($J353="Плановые",OR(Главная!$F$6="Все",$B353=Главная!$F$6),OR(Главная!$F$7="Все",$C353=Главная!$F$7)),$L353,"")</f>
        <v/>
      </c>
      <c r="P353" s="0" t="str">
        <f aca="false">IF(J353="Выполнено",ROW(),"")</f>
        <v/>
      </c>
    </row>
    <row r="354" customFormat="false" ht="21.75" hidden="false" customHeight="true" outlineLevel="0" collapsed="false">
      <c r="A354" s="31"/>
      <c r="B354" s="31"/>
      <c r="C354" s="32"/>
      <c r="D354" s="32"/>
      <c r="E354" s="33"/>
      <c r="F354" s="33"/>
      <c r="G354" s="32"/>
      <c r="H354" s="32"/>
      <c r="I354" s="31"/>
      <c r="J354" s="34" t="str">
        <f aca="true">IF(TRIM(A354)="","",IF(D354="Выполнено","Выполнено",IF(OR(C354="Срочно",AND(F354&lt;&gt;"",F354&lt;=TODAY())),"Срочные",IF(OR(D354="Отложено",C354="Низкий",AND(F354&lt;&gt;"",F354&gt;TODAY()+Справочники!$H$2)),"Плановые","Текущие"))))</f>
        <v/>
      </c>
      <c r="K354" s="35" t="str">
        <f aca="true">IF(OR(A354="",D354="Выполнено"),"",IF(F354="",IF(AND(G354&lt;&gt;"",G354&lt;&gt;"Разово"),"↻ "&amp;G354,""),IF(F354&lt;TODAY(),"Просрочено на "&amp;(TODAY()-F354)&amp;" дн.",IF(F354=TODAY(),"Сегодня",IF(F354=TODAY()+1,"Завтра","Через "&amp;(F354-TODAY())&amp;" дн.")))))</f>
        <v/>
      </c>
      <c r="L354" s="0" t="str">
        <f aca="true">IF(J354="","",(IF(AND(F354&lt;&gt;"",F354&lt;TODAY()),0,1)*10000000+IFERROR(MATCH(C354,{"Срочно","Высокий","Средний","Низкий"},0),5)*100000+IF(F354="",99999,F354))*1000+ROW())</f>
        <v/>
      </c>
      <c r="M354" s="0" t="str">
        <f aca="false">IF(AND($J354="Срочные",OR(Главная!$F$6="Все",$B354=Главная!$F$6),OR(Главная!$F$7="Все",$C354=Главная!$F$7)),$L354,"")</f>
        <v/>
      </c>
      <c r="N354" s="0" t="str">
        <f aca="false">IF(AND($J354="Текущие",OR(Главная!$F$6="Все",$B354=Главная!$F$6),OR(Главная!$F$7="Все",$C354=Главная!$F$7)),$L354,"")</f>
        <v/>
      </c>
      <c r="O354" s="0" t="str">
        <f aca="false">IF(AND($J354="Плановые",OR(Главная!$F$6="Все",$B354=Главная!$F$6),OR(Главная!$F$7="Все",$C354=Главная!$F$7)),$L354,"")</f>
        <v/>
      </c>
      <c r="P354" s="0" t="str">
        <f aca="false">IF(J354="Выполнено",ROW(),"")</f>
        <v/>
      </c>
    </row>
    <row r="355" customFormat="false" ht="21.75" hidden="false" customHeight="true" outlineLevel="0" collapsed="false">
      <c r="A355" s="31"/>
      <c r="B355" s="31"/>
      <c r="C355" s="32"/>
      <c r="D355" s="32"/>
      <c r="E355" s="33"/>
      <c r="F355" s="33"/>
      <c r="G355" s="32"/>
      <c r="H355" s="32"/>
      <c r="I355" s="31"/>
      <c r="J355" s="34" t="str">
        <f aca="true">IF(TRIM(A355)="","",IF(D355="Выполнено","Выполнено",IF(OR(C355="Срочно",AND(F355&lt;&gt;"",F355&lt;=TODAY())),"Срочные",IF(OR(D355="Отложено",C355="Низкий",AND(F355&lt;&gt;"",F355&gt;TODAY()+Справочники!$H$2)),"Плановые","Текущие"))))</f>
        <v/>
      </c>
      <c r="K355" s="35" t="str">
        <f aca="true">IF(OR(A355="",D355="Выполнено"),"",IF(F355="",IF(AND(G355&lt;&gt;"",G355&lt;&gt;"Разово"),"↻ "&amp;G355,""),IF(F355&lt;TODAY(),"Просрочено на "&amp;(TODAY()-F355)&amp;" дн.",IF(F355=TODAY(),"Сегодня",IF(F355=TODAY()+1,"Завтра","Через "&amp;(F355-TODAY())&amp;" дн.")))))</f>
        <v/>
      </c>
      <c r="L355" s="0" t="str">
        <f aca="true">IF(J355="","",(IF(AND(F355&lt;&gt;"",F355&lt;TODAY()),0,1)*10000000+IFERROR(MATCH(C355,{"Срочно","Высокий","Средний","Низкий"},0),5)*100000+IF(F355="",99999,F355))*1000+ROW())</f>
        <v/>
      </c>
      <c r="M355" s="0" t="str">
        <f aca="false">IF(AND($J355="Срочные",OR(Главная!$F$6="Все",$B355=Главная!$F$6),OR(Главная!$F$7="Все",$C355=Главная!$F$7)),$L355,"")</f>
        <v/>
      </c>
      <c r="N355" s="0" t="str">
        <f aca="false">IF(AND($J355="Текущие",OR(Главная!$F$6="Все",$B355=Главная!$F$6),OR(Главная!$F$7="Все",$C355=Главная!$F$7)),$L355,"")</f>
        <v/>
      </c>
      <c r="O355" s="0" t="str">
        <f aca="false">IF(AND($J355="Плановые",OR(Главная!$F$6="Все",$B355=Главная!$F$6),OR(Главная!$F$7="Все",$C355=Главная!$F$7)),$L355,"")</f>
        <v/>
      </c>
      <c r="P355" s="0" t="str">
        <f aca="false">IF(J355="Выполнено",ROW(),"")</f>
        <v/>
      </c>
    </row>
    <row r="356" customFormat="false" ht="21.75" hidden="false" customHeight="true" outlineLevel="0" collapsed="false">
      <c r="A356" s="31"/>
      <c r="B356" s="31"/>
      <c r="C356" s="32"/>
      <c r="D356" s="32"/>
      <c r="E356" s="33"/>
      <c r="F356" s="33"/>
      <c r="G356" s="32"/>
      <c r="H356" s="32"/>
      <c r="I356" s="31"/>
      <c r="J356" s="34" t="str">
        <f aca="true">IF(TRIM(A356)="","",IF(D356="Выполнено","Выполнено",IF(OR(C356="Срочно",AND(F356&lt;&gt;"",F356&lt;=TODAY())),"Срочные",IF(OR(D356="Отложено",C356="Низкий",AND(F356&lt;&gt;"",F356&gt;TODAY()+Справочники!$H$2)),"Плановые","Текущие"))))</f>
        <v/>
      </c>
      <c r="K356" s="35" t="str">
        <f aca="true">IF(OR(A356="",D356="Выполнено"),"",IF(F356="",IF(AND(G356&lt;&gt;"",G356&lt;&gt;"Разово"),"↻ "&amp;G356,""),IF(F356&lt;TODAY(),"Просрочено на "&amp;(TODAY()-F356)&amp;" дн.",IF(F356=TODAY(),"Сегодня",IF(F356=TODAY()+1,"Завтра","Через "&amp;(F356-TODAY())&amp;" дн.")))))</f>
        <v/>
      </c>
      <c r="L356" s="0" t="str">
        <f aca="true">IF(J356="","",(IF(AND(F356&lt;&gt;"",F356&lt;TODAY()),0,1)*10000000+IFERROR(MATCH(C356,{"Срочно","Высокий","Средний","Низкий"},0),5)*100000+IF(F356="",99999,F356))*1000+ROW())</f>
        <v/>
      </c>
      <c r="M356" s="0" t="str">
        <f aca="false">IF(AND($J356="Срочные",OR(Главная!$F$6="Все",$B356=Главная!$F$6),OR(Главная!$F$7="Все",$C356=Главная!$F$7)),$L356,"")</f>
        <v/>
      </c>
      <c r="N356" s="0" t="str">
        <f aca="false">IF(AND($J356="Текущие",OR(Главная!$F$6="Все",$B356=Главная!$F$6),OR(Главная!$F$7="Все",$C356=Главная!$F$7)),$L356,"")</f>
        <v/>
      </c>
      <c r="O356" s="0" t="str">
        <f aca="false">IF(AND($J356="Плановые",OR(Главная!$F$6="Все",$B356=Главная!$F$6),OR(Главная!$F$7="Все",$C356=Главная!$F$7)),$L356,"")</f>
        <v/>
      </c>
      <c r="P356" s="0" t="str">
        <f aca="false">IF(J356="Выполнено",ROW(),"")</f>
        <v/>
      </c>
    </row>
    <row r="357" customFormat="false" ht="21.75" hidden="false" customHeight="true" outlineLevel="0" collapsed="false">
      <c r="A357" s="31"/>
      <c r="B357" s="31"/>
      <c r="C357" s="32"/>
      <c r="D357" s="32"/>
      <c r="E357" s="33"/>
      <c r="F357" s="33"/>
      <c r="G357" s="32"/>
      <c r="H357" s="32"/>
      <c r="I357" s="31"/>
      <c r="J357" s="34" t="str">
        <f aca="true">IF(TRIM(A357)="","",IF(D357="Выполнено","Выполнено",IF(OR(C357="Срочно",AND(F357&lt;&gt;"",F357&lt;=TODAY())),"Срочные",IF(OR(D357="Отложено",C357="Низкий",AND(F357&lt;&gt;"",F357&gt;TODAY()+Справочники!$H$2)),"Плановые","Текущие"))))</f>
        <v/>
      </c>
      <c r="K357" s="35" t="str">
        <f aca="true">IF(OR(A357="",D357="Выполнено"),"",IF(F357="",IF(AND(G357&lt;&gt;"",G357&lt;&gt;"Разово"),"↻ "&amp;G357,""),IF(F357&lt;TODAY(),"Просрочено на "&amp;(TODAY()-F357)&amp;" дн.",IF(F357=TODAY(),"Сегодня",IF(F357=TODAY()+1,"Завтра","Через "&amp;(F357-TODAY())&amp;" дн.")))))</f>
        <v/>
      </c>
      <c r="L357" s="0" t="str">
        <f aca="true">IF(J357="","",(IF(AND(F357&lt;&gt;"",F357&lt;TODAY()),0,1)*10000000+IFERROR(MATCH(C357,{"Срочно","Высокий","Средний","Низкий"},0),5)*100000+IF(F357="",99999,F357))*1000+ROW())</f>
        <v/>
      </c>
      <c r="M357" s="0" t="str">
        <f aca="false">IF(AND($J357="Срочные",OR(Главная!$F$6="Все",$B357=Главная!$F$6),OR(Главная!$F$7="Все",$C357=Главная!$F$7)),$L357,"")</f>
        <v/>
      </c>
      <c r="N357" s="0" t="str">
        <f aca="false">IF(AND($J357="Текущие",OR(Главная!$F$6="Все",$B357=Главная!$F$6),OR(Главная!$F$7="Все",$C357=Главная!$F$7)),$L357,"")</f>
        <v/>
      </c>
      <c r="O357" s="0" t="str">
        <f aca="false">IF(AND($J357="Плановые",OR(Главная!$F$6="Все",$B357=Главная!$F$6),OR(Главная!$F$7="Все",$C357=Главная!$F$7)),$L357,"")</f>
        <v/>
      </c>
      <c r="P357" s="0" t="str">
        <f aca="false">IF(J357="Выполнено",ROW(),"")</f>
        <v/>
      </c>
    </row>
    <row r="358" customFormat="false" ht="21.75" hidden="false" customHeight="true" outlineLevel="0" collapsed="false">
      <c r="A358" s="31"/>
      <c r="B358" s="31"/>
      <c r="C358" s="32"/>
      <c r="D358" s="32"/>
      <c r="E358" s="33"/>
      <c r="F358" s="33"/>
      <c r="G358" s="32"/>
      <c r="H358" s="32"/>
      <c r="I358" s="31"/>
      <c r="J358" s="34" t="str">
        <f aca="true">IF(TRIM(A358)="","",IF(D358="Выполнено","Выполнено",IF(OR(C358="Срочно",AND(F358&lt;&gt;"",F358&lt;=TODAY())),"Срочные",IF(OR(D358="Отложено",C358="Низкий",AND(F358&lt;&gt;"",F358&gt;TODAY()+Справочники!$H$2)),"Плановые","Текущие"))))</f>
        <v/>
      </c>
      <c r="K358" s="35" t="str">
        <f aca="true">IF(OR(A358="",D358="Выполнено"),"",IF(F358="",IF(AND(G358&lt;&gt;"",G358&lt;&gt;"Разово"),"↻ "&amp;G358,""),IF(F358&lt;TODAY(),"Просрочено на "&amp;(TODAY()-F358)&amp;" дн.",IF(F358=TODAY(),"Сегодня",IF(F358=TODAY()+1,"Завтра","Через "&amp;(F358-TODAY())&amp;" дн.")))))</f>
        <v/>
      </c>
      <c r="L358" s="0" t="str">
        <f aca="true">IF(J358="","",(IF(AND(F358&lt;&gt;"",F358&lt;TODAY()),0,1)*10000000+IFERROR(MATCH(C358,{"Срочно","Высокий","Средний","Низкий"},0),5)*100000+IF(F358="",99999,F358))*1000+ROW())</f>
        <v/>
      </c>
      <c r="M358" s="0" t="str">
        <f aca="false">IF(AND($J358="Срочные",OR(Главная!$F$6="Все",$B358=Главная!$F$6),OR(Главная!$F$7="Все",$C358=Главная!$F$7)),$L358,"")</f>
        <v/>
      </c>
      <c r="N358" s="0" t="str">
        <f aca="false">IF(AND($J358="Текущие",OR(Главная!$F$6="Все",$B358=Главная!$F$6),OR(Главная!$F$7="Все",$C358=Главная!$F$7)),$L358,"")</f>
        <v/>
      </c>
      <c r="O358" s="0" t="str">
        <f aca="false">IF(AND($J358="Плановые",OR(Главная!$F$6="Все",$B358=Главная!$F$6),OR(Главная!$F$7="Все",$C358=Главная!$F$7)),$L358,"")</f>
        <v/>
      </c>
      <c r="P358" s="0" t="str">
        <f aca="false">IF(J358="Выполнено",ROW(),"")</f>
        <v/>
      </c>
    </row>
    <row r="359" customFormat="false" ht="21.75" hidden="false" customHeight="true" outlineLevel="0" collapsed="false">
      <c r="A359" s="31"/>
      <c r="B359" s="31"/>
      <c r="C359" s="32"/>
      <c r="D359" s="32"/>
      <c r="E359" s="33"/>
      <c r="F359" s="33"/>
      <c r="G359" s="32"/>
      <c r="H359" s="32"/>
      <c r="I359" s="31"/>
      <c r="J359" s="34" t="str">
        <f aca="true">IF(TRIM(A359)="","",IF(D359="Выполнено","Выполнено",IF(OR(C359="Срочно",AND(F359&lt;&gt;"",F359&lt;=TODAY())),"Срочные",IF(OR(D359="Отложено",C359="Низкий",AND(F359&lt;&gt;"",F359&gt;TODAY()+Справочники!$H$2)),"Плановые","Текущие"))))</f>
        <v/>
      </c>
      <c r="K359" s="35" t="str">
        <f aca="true">IF(OR(A359="",D359="Выполнено"),"",IF(F359="",IF(AND(G359&lt;&gt;"",G359&lt;&gt;"Разово"),"↻ "&amp;G359,""),IF(F359&lt;TODAY(),"Просрочено на "&amp;(TODAY()-F359)&amp;" дн.",IF(F359=TODAY(),"Сегодня",IF(F359=TODAY()+1,"Завтра","Через "&amp;(F359-TODAY())&amp;" дн.")))))</f>
        <v/>
      </c>
      <c r="L359" s="0" t="str">
        <f aca="true">IF(J359="","",(IF(AND(F359&lt;&gt;"",F359&lt;TODAY()),0,1)*10000000+IFERROR(MATCH(C359,{"Срочно","Высокий","Средний","Низкий"},0),5)*100000+IF(F359="",99999,F359))*1000+ROW())</f>
        <v/>
      </c>
      <c r="M359" s="0" t="str">
        <f aca="false">IF(AND($J359="Срочные",OR(Главная!$F$6="Все",$B359=Главная!$F$6),OR(Главная!$F$7="Все",$C359=Главная!$F$7)),$L359,"")</f>
        <v/>
      </c>
      <c r="N359" s="0" t="str">
        <f aca="false">IF(AND($J359="Текущие",OR(Главная!$F$6="Все",$B359=Главная!$F$6),OR(Главная!$F$7="Все",$C359=Главная!$F$7)),$L359,"")</f>
        <v/>
      </c>
      <c r="O359" s="0" t="str">
        <f aca="false">IF(AND($J359="Плановые",OR(Главная!$F$6="Все",$B359=Главная!$F$6),OR(Главная!$F$7="Все",$C359=Главная!$F$7)),$L359,"")</f>
        <v/>
      </c>
      <c r="P359" s="0" t="str">
        <f aca="false">IF(J359="Выполнено",ROW(),"")</f>
        <v/>
      </c>
    </row>
    <row r="360" customFormat="false" ht="21.75" hidden="false" customHeight="true" outlineLevel="0" collapsed="false">
      <c r="A360" s="31"/>
      <c r="B360" s="31"/>
      <c r="C360" s="32"/>
      <c r="D360" s="32"/>
      <c r="E360" s="33"/>
      <c r="F360" s="33"/>
      <c r="G360" s="32"/>
      <c r="H360" s="32"/>
      <c r="I360" s="31"/>
      <c r="J360" s="34" t="str">
        <f aca="true">IF(TRIM(A360)="","",IF(D360="Выполнено","Выполнено",IF(OR(C360="Срочно",AND(F360&lt;&gt;"",F360&lt;=TODAY())),"Срочные",IF(OR(D360="Отложено",C360="Низкий",AND(F360&lt;&gt;"",F360&gt;TODAY()+Справочники!$H$2)),"Плановые","Текущие"))))</f>
        <v/>
      </c>
      <c r="K360" s="35" t="str">
        <f aca="true">IF(OR(A360="",D360="Выполнено"),"",IF(F360="",IF(AND(G360&lt;&gt;"",G360&lt;&gt;"Разово"),"↻ "&amp;G360,""),IF(F360&lt;TODAY(),"Просрочено на "&amp;(TODAY()-F360)&amp;" дн.",IF(F360=TODAY(),"Сегодня",IF(F360=TODAY()+1,"Завтра","Через "&amp;(F360-TODAY())&amp;" дн.")))))</f>
        <v/>
      </c>
      <c r="L360" s="0" t="str">
        <f aca="true">IF(J360="","",(IF(AND(F360&lt;&gt;"",F360&lt;TODAY()),0,1)*10000000+IFERROR(MATCH(C360,{"Срочно","Высокий","Средний","Низкий"},0),5)*100000+IF(F360="",99999,F360))*1000+ROW())</f>
        <v/>
      </c>
      <c r="M360" s="0" t="str">
        <f aca="false">IF(AND($J360="Срочные",OR(Главная!$F$6="Все",$B360=Главная!$F$6),OR(Главная!$F$7="Все",$C360=Главная!$F$7)),$L360,"")</f>
        <v/>
      </c>
      <c r="N360" s="0" t="str">
        <f aca="false">IF(AND($J360="Текущие",OR(Главная!$F$6="Все",$B360=Главная!$F$6),OR(Главная!$F$7="Все",$C360=Главная!$F$7)),$L360,"")</f>
        <v/>
      </c>
      <c r="O360" s="0" t="str">
        <f aca="false">IF(AND($J360="Плановые",OR(Главная!$F$6="Все",$B360=Главная!$F$6),OR(Главная!$F$7="Все",$C360=Главная!$F$7)),$L360,"")</f>
        <v/>
      </c>
      <c r="P360" s="0" t="str">
        <f aca="false">IF(J360="Выполнено",ROW(),"")</f>
        <v/>
      </c>
    </row>
    <row r="361" customFormat="false" ht="21.75" hidden="false" customHeight="true" outlineLevel="0" collapsed="false">
      <c r="A361" s="31"/>
      <c r="B361" s="31"/>
      <c r="C361" s="32"/>
      <c r="D361" s="32"/>
      <c r="E361" s="33"/>
      <c r="F361" s="33"/>
      <c r="G361" s="32"/>
      <c r="H361" s="32"/>
      <c r="I361" s="31"/>
      <c r="J361" s="34" t="str">
        <f aca="true">IF(TRIM(A361)="","",IF(D361="Выполнено","Выполнено",IF(OR(C361="Срочно",AND(F361&lt;&gt;"",F361&lt;=TODAY())),"Срочные",IF(OR(D361="Отложено",C361="Низкий",AND(F361&lt;&gt;"",F361&gt;TODAY()+Справочники!$H$2)),"Плановые","Текущие"))))</f>
        <v/>
      </c>
      <c r="K361" s="35" t="str">
        <f aca="true">IF(OR(A361="",D361="Выполнено"),"",IF(F361="",IF(AND(G361&lt;&gt;"",G361&lt;&gt;"Разово"),"↻ "&amp;G361,""),IF(F361&lt;TODAY(),"Просрочено на "&amp;(TODAY()-F361)&amp;" дн.",IF(F361=TODAY(),"Сегодня",IF(F361=TODAY()+1,"Завтра","Через "&amp;(F361-TODAY())&amp;" дн.")))))</f>
        <v/>
      </c>
      <c r="L361" s="0" t="str">
        <f aca="true">IF(J361="","",(IF(AND(F361&lt;&gt;"",F361&lt;TODAY()),0,1)*10000000+IFERROR(MATCH(C361,{"Срочно","Высокий","Средний","Низкий"},0),5)*100000+IF(F361="",99999,F361))*1000+ROW())</f>
        <v/>
      </c>
      <c r="M361" s="0" t="str">
        <f aca="false">IF(AND($J361="Срочные",OR(Главная!$F$6="Все",$B361=Главная!$F$6),OR(Главная!$F$7="Все",$C361=Главная!$F$7)),$L361,"")</f>
        <v/>
      </c>
      <c r="N361" s="0" t="str">
        <f aca="false">IF(AND($J361="Текущие",OR(Главная!$F$6="Все",$B361=Главная!$F$6),OR(Главная!$F$7="Все",$C361=Главная!$F$7)),$L361,"")</f>
        <v/>
      </c>
      <c r="O361" s="0" t="str">
        <f aca="false">IF(AND($J361="Плановые",OR(Главная!$F$6="Все",$B361=Главная!$F$6),OR(Главная!$F$7="Все",$C361=Главная!$F$7)),$L361,"")</f>
        <v/>
      </c>
      <c r="P361" s="0" t="str">
        <f aca="false">IF(J361="Выполнено",ROW(),"")</f>
        <v/>
      </c>
    </row>
    <row r="362" customFormat="false" ht="21.75" hidden="false" customHeight="true" outlineLevel="0" collapsed="false">
      <c r="A362" s="31"/>
      <c r="B362" s="31"/>
      <c r="C362" s="32"/>
      <c r="D362" s="32"/>
      <c r="E362" s="33"/>
      <c r="F362" s="33"/>
      <c r="G362" s="32"/>
      <c r="H362" s="32"/>
      <c r="I362" s="31"/>
      <c r="J362" s="34" t="str">
        <f aca="true">IF(TRIM(A362)="","",IF(D362="Выполнено","Выполнено",IF(OR(C362="Срочно",AND(F362&lt;&gt;"",F362&lt;=TODAY())),"Срочные",IF(OR(D362="Отложено",C362="Низкий",AND(F362&lt;&gt;"",F362&gt;TODAY()+Справочники!$H$2)),"Плановые","Текущие"))))</f>
        <v/>
      </c>
      <c r="K362" s="35" t="str">
        <f aca="true">IF(OR(A362="",D362="Выполнено"),"",IF(F362="",IF(AND(G362&lt;&gt;"",G362&lt;&gt;"Разово"),"↻ "&amp;G362,""),IF(F362&lt;TODAY(),"Просрочено на "&amp;(TODAY()-F362)&amp;" дн.",IF(F362=TODAY(),"Сегодня",IF(F362=TODAY()+1,"Завтра","Через "&amp;(F362-TODAY())&amp;" дн.")))))</f>
        <v/>
      </c>
      <c r="L362" s="0" t="str">
        <f aca="true">IF(J362="","",(IF(AND(F362&lt;&gt;"",F362&lt;TODAY()),0,1)*10000000+IFERROR(MATCH(C362,{"Срочно","Высокий","Средний","Низкий"},0),5)*100000+IF(F362="",99999,F362))*1000+ROW())</f>
        <v/>
      </c>
      <c r="M362" s="0" t="str">
        <f aca="false">IF(AND($J362="Срочные",OR(Главная!$F$6="Все",$B362=Главная!$F$6),OR(Главная!$F$7="Все",$C362=Главная!$F$7)),$L362,"")</f>
        <v/>
      </c>
      <c r="N362" s="0" t="str">
        <f aca="false">IF(AND($J362="Текущие",OR(Главная!$F$6="Все",$B362=Главная!$F$6),OR(Главная!$F$7="Все",$C362=Главная!$F$7)),$L362,"")</f>
        <v/>
      </c>
      <c r="O362" s="0" t="str">
        <f aca="false">IF(AND($J362="Плановые",OR(Главная!$F$6="Все",$B362=Главная!$F$6),OR(Главная!$F$7="Все",$C362=Главная!$F$7)),$L362,"")</f>
        <v/>
      </c>
      <c r="P362" s="0" t="str">
        <f aca="false">IF(J362="Выполнено",ROW(),"")</f>
        <v/>
      </c>
    </row>
    <row r="363" customFormat="false" ht="21.75" hidden="false" customHeight="true" outlineLevel="0" collapsed="false">
      <c r="A363" s="31"/>
      <c r="B363" s="31"/>
      <c r="C363" s="32"/>
      <c r="D363" s="32"/>
      <c r="E363" s="33"/>
      <c r="F363" s="33"/>
      <c r="G363" s="32"/>
      <c r="H363" s="32"/>
      <c r="I363" s="31"/>
      <c r="J363" s="34" t="str">
        <f aca="true">IF(TRIM(A363)="","",IF(D363="Выполнено","Выполнено",IF(OR(C363="Срочно",AND(F363&lt;&gt;"",F363&lt;=TODAY())),"Срочные",IF(OR(D363="Отложено",C363="Низкий",AND(F363&lt;&gt;"",F363&gt;TODAY()+Справочники!$H$2)),"Плановые","Текущие"))))</f>
        <v/>
      </c>
      <c r="K363" s="35" t="str">
        <f aca="true">IF(OR(A363="",D363="Выполнено"),"",IF(F363="",IF(AND(G363&lt;&gt;"",G363&lt;&gt;"Разово"),"↻ "&amp;G363,""),IF(F363&lt;TODAY(),"Просрочено на "&amp;(TODAY()-F363)&amp;" дн.",IF(F363=TODAY(),"Сегодня",IF(F363=TODAY()+1,"Завтра","Через "&amp;(F363-TODAY())&amp;" дн.")))))</f>
        <v/>
      </c>
      <c r="L363" s="0" t="str">
        <f aca="true">IF(J363="","",(IF(AND(F363&lt;&gt;"",F363&lt;TODAY()),0,1)*10000000+IFERROR(MATCH(C363,{"Срочно","Высокий","Средний","Низкий"},0),5)*100000+IF(F363="",99999,F363))*1000+ROW())</f>
        <v/>
      </c>
      <c r="M363" s="0" t="str">
        <f aca="false">IF(AND($J363="Срочные",OR(Главная!$F$6="Все",$B363=Главная!$F$6),OR(Главная!$F$7="Все",$C363=Главная!$F$7)),$L363,"")</f>
        <v/>
      </c>
      <c r="N363" s="0" t="str">
        <f aca="false">IF(AND($J363="Текущие",OR(Главная!$F$6="Все",$B363=Главная!$F$6),OR(Главная!$F$7="Все",$C363=Главная!$F$7)),$L363,"")</f>
        <v/>
      </c>
      <c r="O363" s="0" t="str">
        <f aca="false">IF(AND($J363="Плановые",OR(Главная!$F$6="Все",$B363=Главная!$F$6),OR(Главная!$F$7="Все",$C363=Главная!$F$7)),$L363,"")</f>
        <v/>
      </c>
      <c r="P363" s="0" t="str">
        <f aca="false">IF(J363="Выполнено",ROW(),"")</f>
        <v/>
      </c>
    </row>
    <row r="364" customFormat="false" ht="21.75" hidden="false" customHeight="true" outlineLevel="0" collapsed="false">
      <c r="A364" s="31"/>
      <c r="B364" s="31"/>
      <c r="C364" s="32"/>
      <c r="D364" s="32"/>
      <c r="E364" s="33"/>
      <c r="F364" s="33"/>
      <c r="G364" s="32"/>
      <c r="H364" s="32"/>
      <c r="I364" s="31"/>
      <c r="J364" s="34" t="str">
        <f aca="true">IF(TRIM(A364)="","",IF(D364="Выполнено","Выполнено",IF(OR(C364="Срочно",AND(F364&lt;&gt;"",F364&lt;=TODAY())),"Срочные",IF(OR(D364="Отложено",C364="Низкий",AND(F364&lt;&gt;"",F364&gt;TODAY()+Справочники!$H$2)),"Плановые","Текущие"))))</f>
        <v/>
      </c>
      <c r="K364" s="35" t="str">
        <f aca="true">IF(OR(A364="",D364="Выполнено"),"",IF(F364="",IF(AND(G364&lt;&gt;"",G364&lt;&gt;"Разово"),"↻ "&amp;G364,""),IF(F364&lt;TODAY(),"Просрочено на "&amp;(TODAY()-F364)&amp;" дн.",IF(F364=TODAY(),"Сегодня",IF(F364=TODAY()+1,"Завтра","Через "&amp;(F364-TODAY())&amp;" дн.")))))</f>
        <v/>
      </c>
      <c r="L364" s="0" t="str">
        <f aca="true">IF(J364="","",(IF(AND(F364&lt;&gt;"",F364&lt;TODAY()),0,1)*10000000+IFERROR(MATCH(C364,{"Срочно","Высокий","Средний","Низкий"},0),5)*100000+IF(F364="",99999,F364))*1000+ROW())</f>
        <v/>
      </c>
      <c r="M364" s="0" t="str">
        <f aca="false">IF(AND($J364="Срочные",OR(Главная!$F$6="Все",$B364=Главная!$F$6),OR(Главная!$F$7="Все",$C364=Главная!$F$7)),$L364,"")</f>
        <v/>
      </c>
      <c r="N364" s="0" t="str">
        <f aca="false">IF(AND($J364="Текущие",OR(Главная!$F$6="Все",$B364=Главная!$F$6),OR(Главная!$F$7="Все",$C364=Главная!$F$7)),$L364,"")</f>
        <v/>
      </c>
      <c r="O364" s="0" t="str">
        <f aca="false">IF(AND($J364="Плановые",OR(Главная!$F$6="Все",$B364=Главная!$F$6),OR(Главная!$F$7="Все",$C364=Главная!$F$7)),$L364,"")</f>
        <v/>
      </c>
      <c r="P364" s="0" t="str">
        <f aca="false">IF(J364="Выполнено",ROW(),"")</f>
        <v/>
      </c>
    </row>
    <row r="365" customFormat="false" ht="21.75" hidden="false" customHeight="true" outlineLevel="0" collapsed="false">
      <c r="A365" s="31"/>
      <c r="B365" s="31"/>
      <c r="C365" s="32"/>
      <c r="D365" s="32"/>
      <c r="E365" s="33"/>
      <c r="F365" s="33"/>
      <c r="G365" s="32"/>
      <c r="H365" s="32"/>
      <c r="I365" s="31"/>
      <c r="J365" s="34" t="str">
        <f aca="true">IF(TRIM(A365)="","",IF(D365="Выполнено","Выполнено",IF(OR(C365="Срочно",AND(F365&lt;&gt;"",F365&lt;=TODAY())),"Срочные",IF(OR(D365="Отложено",C365="Низкий",AND(F365&lt;&gt;"",F365&gt;TODAY()+Справочники!$H$2)),"Плановые","Текущие"))))</f>
        <v/>
      </c>
      <c r="K365" s="35" t="str">
        <f aca="true">IF(OR(A365="",D365="Выполнено"),"",IF(F365="",IF(AND(G365&lt;&gt;"",G365&lt;&gt;"Разово"),"↻ "&amp;G365,""),IF(F365&lt;TODAY(),"Просрочено на "&amp;(TODAY()-F365)&amp;" дн.",IF(F365=TODAY(),"Сегодня",IF(F365=TODAY()+1,"Завтра","Через "&amp;(F365-TODAY())&amp;" дн.")))))</f>
        <v/>
      </c>
      <c r="L365" s="0" t="str">
        <f aca="true">IF(J365="","",(IF(AND(F365&lt;&gt;"",F365&lt;TODAY()),0,1)*10000000+IFERROR(MATCH(C365,{"Срочно","Высокий","Средний","Низкий"},0),5)*100000+IF(F365="",99999,F365))*1000+ROW())</f>
        <v/>
      </c>
      <c r="M365" s="0" t="str">
        <f aca="false">IF(AND($J365="Срочные",OR(Главная!$F$6="Все",$B365=Главная!$F$6),OR(Главная!$F$7="Все",$C365=Главная!$F$7)),$L365,"")</f>
        <v/>
      </c>
      <c r="N365" s="0" t="str">
        <f aca="false">IF(AND($J365="Текущие",OR(Главная!$F$6="Все",$B365=Главная!$F$6),OR(Главная!$F$7="Все",$C365=Главная!$F$7)),$L365,"")</f>
        <v/>
      </c>
      <c r="O365" s="0" t="str">
        <f aca="false">IF(AND($J365="Плановые",OR(Главная!$F$6="Все",$B365=Главная!$F$6),OR(Главная!$F$7="Все",$C365=Главная!$F$7)),$L365,"")</f>
        <v/>
      </c>
      <c r="P365" s="0" t="str">
        <f aca="false">IF(J365="Выполнено",ROW(),"")</f>
        <v/>
      </c>
    </row>
    <row r="366" customFormat="false" ht="21.75" hidden="false" customHeight="true" outlineLevel="0" collapsed="false">
      <c r="A366" s="31"/>
      <c r="B366" s="31"/>
      <c r="C366" s="32"/>
      <c r="D366" s="32"/>
      <c r="E366" s="33"/>
      <c r="F366" s="33"/>
      <c r="G366" s="32"/>
      <c r="H366" s="32"/>
      <c r="I366" s="31"/>
      <c r="J366" s="34" t="str">
        <f aca="true">IF(TRIM(A366)="","",IF(D366="Выполнено","Выполнено",IF(OR(C366="Срочно",AND(F366&lt;&gt;"",F366&lt;=TODAY())),"Срочные",IF(OR(D366="Отложено",C366="Низкий",AND(F366&lt;&gt;"",F366&gt;TODAY()+Справочники!$H$2)),"Плановые","Текущие"))))</f>
        <v/>
      </c>
      <c r="K366" s="35" t="str">
        <f aca="true">IF(OR(A366="",D366="Выполнено"),"",IF(F366="",IF(AND(G366&lt;&gt;"",G366&lt;&gt;"Разово"),"↻ "&amp;G366,""),IF(F366&lt;TODAY(),"Просрочено на "&amp;(TODAY()-F366)&amp;" дн.",IF(F366=TODAY(),"Сегодня",IF(F366=TODAY()+1,"Завтра","Через "&amp;(F366-TODAY())&amp;" дн.")))))</f>
        <v/>
      </c>
      <c r="L366" s="0" t="str">
        <f aca="true">IF(J366="","",(IF(AND(F366&lt;&gt;"",F366&lt;TODAY()),0,1)*10000000+IFERROR(MATCH(C366,{"Срочно","Высокий","Средний","Низкий"},0),5)*100000+IF(F366="",99999,F366))*1000+ROW())</f>
        <v/>
      </c>
      <c r="M366" s="0" t="str">
        <f aca="false">IF(AND($J366="Срочные",OR(Главная!$F$6="Все",$B366=Главная!$F$6),OR(Главная!$F$7="Все",$C366=Главная!$F$7)),$L366,"")</f>
        <v/>
      </c>
      <c r="N366" s="0" t="str">
        <f aca="false">IF(AND($J366="Текущие",OR(Главная!$F$6="Все",$B366=Главная!$F$6),OR(Главная!$F$7="Все",$C366=Главная!$F$7)),$L366,"")</f>
        <v/>
      </c>
      <c r="O366" s="0" t="str">
        <f aca="false">IF(AND($J366="Плановые",OR(Главная!$F$6="Все",$B366=Главная!$F$6),OR(Главная!$F$7="Все",$C366=Главная!$F$7)),$L366,"")</f>
        <v/>
      </c>
      <c r="P366" s="0" t="str">
        <f aca="false">IF(J366="Выполнено",ROW(),"")</f>
        <v/>
      </c>
    </row>
    <row r="367" customFormat="false" ht="21.75" hidden="false" customHeight="true" outlineLevel="0" collapsed="false">
      <c r="A367" s="31"/>
      <c r="B367" s="31"/>
      <c r="C367" s="32"/>
      <c r="D367" s="32"/>
      <c r="E367" s="33"/>
      <c r="F367" s="33"/>
      <c r="G367" s="32"/>
      <c r="H367" s="32"/>
      <c r="I367" s="31"/>
      <c r="J367" s="34" t="str">
        <f aca="true">IF(TRIM(A367)="","",IF(D367="Выполнено","Выполнено",IF(OR(C367="Срочно",AND(F367&lt;&gt;"",F367&lt;=TODAY())),"Срочные",IF(OR(D367="Отложено",C367="Низкий",AND(F367&lt;&gt;"",F367&gt;TODAY()+Справочники!$H$2)),"Плановые","Текущие"))))</f>
        <v/>
      </c>
      <c r="K367" s="35" t="str">
        <f aca="true">IF(OR(A367="",D367="Выполнено"),"",IF(F367="",IF(AND(G367&lt;&gt;"",G367&lt;&gt;"Разово"),"↻ "&amp;G367,""),IF(F367&lt;TODAY(),"Просрочено на "&amp;(TODAY()-F367)&amp;" дн.",IF(F367=TODAY(),"Сегодня",IF(F367=TODAY()+1,"Завтра","Через "&amp;(F367-TODAY())&amp;" дн.")))))</f>
        <v/>
      </c>
      <c r="L367" s="0" t="str">
        <f aca="true">IF(J367="","",(IF(AND(F367&lt;&gt;"",F367&lt;TODAY()),0,1)*10000000+IFERROR(MATCH(C367,{"Срочно","Высокий","Средний","Низкий"},0),5)*100000+IF(F367="",99999,F367))*1000+ROW())</f>
        <v/>
      </c>
      <c r="M367" s="0" t="str">
        <f aca="false">IF(AND($J367="Срочные",OR(Главная!$F$6="Все",$B367=Главная!$F$6),OR(Главная!$F$7="Все",$C367=Главная!$F$7)),$L367,"")</f>
        <v/>
      </c>
      <c r="N367" s="0" t="str">
        <f aca="false">IF(AND($J367="Текущие",OR(Главная!$F$6="Все",$B367=Главная!$F$6),OR(Главная!$F$7="Все",$C367=Главная!$F$7)),$L367,"")</f>
        <v/>
      </c>
      <c r="O367" s="0" t="str">
        <f aca="false">IF(AND($J367="Плановые",OR(Главная!$F$6="Все",$B367=Главная!$F$6),OR(Главная!$F$7="Все",$C367=Главная!$F$7)),$L367,"")</f>
        <v/>
      </c>
      <c r="P367" s="0" t="str">
        <f aca="false">IF(J367="Выполнено",ROW(),"")</f>
        <v/>
      </c>
    </row>
    <row r="368" customFormat="false" ht="21.75" hidden="false" customHeight="true" outlineLevel="0" collapsed="false">
      <c r="A368" s="31"/>
      <c r="B368" s="31"/>
      <c r="C368" s="32"/>
      <c r="D368" s="32"/>
      <c r="E368" s="33"/>
      <c r="F368" s="33"/>
      <c r="G368" s="32"/>
      <c r="H368" s="32"/>
      <c r="I368" s="31"/>
      <c r="J368" s="34" t="str">
        <f aca="true">IF(TRIM(A368)="","",IF(D368="Выполнено","Выполнено",IF(OR(C368="Срочно",AND(F368&lt;&gt;"",F368&lt;=TODAY())),"Срочные",IF(OR(D368="Отложено",C368="Низкий",AND(F368&lt;&gt;"",F368&gt;TODAY()+Справочники!$H$2)),"Плановые","Текущие"))))</f>
        <v/>
      </c>
      <c r="K368" s="35" t="str">
        <f aca="true">IF(OR(A368="",D368="Выполнено"),"",IF(F368="",IF(AND(G368&lt;&gt;"",G368&lt;&gt;"Разово"),"↻ "&amp;G368,""),IF(F368&lt;TODAY(),"Просрочено на "&amp;(TODAY()-F368)&amp;" дн.",IF(F368=TODAY(),"Сегодня",IF(F368=TODAY()+1,"Завтра","Через "&amp;(F368-TODAY())&amp;" дн.")))))</f>
        <v/>
      </c>
      <c r="L368" s="0" t="str">
        <f aca="true">IF(J368="","",(IF(AND(F368&lt;&gt;"",F368&lt;TODAY()),0,1)*10000000+IFERROR(MATCH(C368,{"Срочно","Высокий","Средний","Низкий"},0),5)*100000+IF(F368="",99999,F368))*1000+ROW())</f>
        <v/>
      </c>
      <c r="M368" s="0" t="str">
        <f aca="false">IF(AND($J368="Срочные",OR(Главная!$F$6="Все",$B368=Главная!$F$6),OR(Главная!$F$7="Все",$C368=Главная!$F$7)),$L368,"")</f>
        <v/>
      </c>
      <c r="N368" s="0" t="str">
        <f aca="false">IF(AND($J368="Текущие",OR(Главная!$F$6="Все",$B368=Главная!$F$6),OR(Главная!$F$7="Все",$C368=Главная!$F$7)),$L368,"")</f>
        <v/>
      </c>
      <c r="O368" s="0" t="str">
        <f aca="false">IF(AND($J368="Плановые",OR(Главная!$F$6="Все",$B368=Главная!$F$6),OR(Главная!$F$7="Все",$C368=Главная!$F$7)),$L368,"")</f>
        <v/>
      </c>
      <c r="P368" s="0" t="str">
        <f aca="false">IF(J368="Выполнено",ROW(),"")</f>
        <v/>
      </c>
    </row>
    <row r="369" customFormat="false" ht="21.75" hidden="false" customHeight="true" outlineLevel="0" collapsed="false">
      <c r="A369" s="31"/>
      <c r="B369" s="31"/>
      <c r="C369" s="32"/>
      <c r="D369" s="32"/>
      <c r="E369" s="33"/>
      <c r="F369" s="33"/>
      <c r="G369" s="32"/>
      <c r="H369" s="32"/>
      <c r="I369" s="31"/>
      <c r="J369" s="34" t="str">
        <f aca="true">IF(TRIM(A369)="","",IF(D369="Выполнено","Выполнено",IF(OR(C369="Срочно",AND(F369&lt;&gt;"",F369&lt;=TODAY())),"Срочные",IF(OR(D369="Отложено",C369="Низкий",AND(F369&lt;&gt;"",F369&gt;TODAY()+Справочники!$H$2)),"Плановые","Текущие"))))</f>
        <v/>
      </c>
      <c r="K369" s="35" t="str">
        <f aca="true">IF(OR(A369="",D369="Выполнено"),"",IF(F369="",IF(AND(G369&lt;&gt;"",G369&lt;&gt;"Разово"),"↻ "&amp;G369,""),IF(F369&lt;TODAY(),"Просрочено на "&amp;(TODAY()-F369)&amp;" дн.",IF(F369=TODAY(),"Сегодня",IF(F369=TODAY()+1,"Завтра","Через "&amp;(F369-TODAY())&amp;" дн.")))))</f>
        <v/>
      </c>
      <c r="L369" s="0" t="str">
        <f aca="true">IF(J369="","",(IF(AND(F369&lt;&gt;"",F369&lt;TODAY()),0,1)*10000000+IFERROR(MATCH(C369,{"Срочно","Высокий","Средний","Низкий"},0),5)*100000+IF(F369="",99999,F369))*1000+ROW())</f>
        <v/>
      </c>
      <c r="M369" s="0" t="str">
        <f aca="false">IF(AND($J369="Срочные",OR(Главная!$F$6="Все",$B369=Главная!$F$6),OR(Главная!$F$7="Все",$C369=Главная!$F$7)),$L369,"")</f>
        <v/>
      </c>
      <c r="N369" s="0" t="str">
        <f aca="false">IF(AND($J369="Текущие",OR(Главная!$F$6="Все",$B369=Главная!$F$6),OR(Главная!$F$7="Все",$C369=Главная!$F$7)),$L369,"")</f>
        <v/>
      </c>
      <c r="O369" s="0" t="str">
        <f aca="false">IF(AND($J369="Плановые",OR(Главная!$F$6="Все",$B369=Главная!$F$6),OR(Главная!$F$7="Все",$C369=Главная!$F$7)),$L369,"")</f>
        <v/>
      </c>
      <c r="P369" s="0" t="str">
        <f aca="false">IF(J369="Выполнено",ROW(),"")</f>
        <v/>
      </c>
    </row>
    <row r="370" customFormat="false" ht="21.75" hidden="false" customHeight="true" outlineLevel="0" collapsed="false">
      <c r="A370" s="31"/>
      <c r="B370" s="31"/>
      <c r="C370" s="32"/>
      <c r="D370" s="32"/>
      <c r="E370" s="33"/>
      <c r="F370" s="33"/>
      <c r="G370" s="32"/>
      <c r="H370" s="32"/>
      <c r="I370" s="31"/>
      <c r="J370" s="34" t="str">
        <f aca="true">IF(TRIM(A370)="","",IF(D370="Выполнено","Выполнено",IF(OR(C370="Срочно",AND(F370&lt;&gt;"",F370&lt;=TODAY())),"Срочные",IF(OR(D370="Отложено",C370="Низкий",AND(F370&lt;&gt;"",F370&gt;TODAY()+Справочники!$H$2)),"Плановые","Текущие"))))</f>
        <v/>
      </c>
      <c r="K370" s="35" t="str">
        <f aca="true">IF(OR(A370="",D370="Выполнено"),"",IF(F370="",IF(AND(G370&lt;&gt;"",G370&lt;&gt;"Разово"),"↻ "&amp;G370,""),IF(F370&lt;TODAY(),"Просрочено на "&amp;(TODAY()-F370)&amp;" дн.",IF(F370=TODAY(),"Сегодня",IF(F370=TODAY()+1,"Завтра","Через "&amp;(F370-TODAY())&amp;" дн.")))))</f>
        <v/>
      </c>
      <c r="L370" s="0" t="str">
        <f aca="true">IF(J370="","",(IF(AND(F370&lt;&gt;"",F370&lt;TODAY()),0,1)*10000000+IFERROR(MATCH(C370,{"Срочно","Высокий","Средний","Низкий"},0),5)*100000+IF(F370="",99999,F370))*1000+ROW())</f>
        <v/>
      </c>
      <c r="M370" s="0" t="str">
        <f aca="false">IF(AND($J370="Срочные",OR(Главная!$F$6="Все",$B370=Главная!$F$6),OR(Главная!$F$7="Все",$C370=Главная!$F$7)),$L370,"")</f>
        <v/>
      </c>
      <c r="N370" s="0" t="str">
        <f aca="false">IF(AND($J370="Текущие",OR(Главная!$F$6="Все",$B370=Главная!$F$6),OR(Главная!$F$7="Все",$C370=Главная!$F$7)),$L370,"")</f>
        <v/>
      </c>
      <c r="O370" s="0" t="str">
        <f aca="false">IF(AND($J370="Плановые",OR(Главная!$F$6="Все",$B370=Главная!$F$6),OR(Главная!$F$7="Все",$C370=Главная!$F$7)),$L370,"")</f>
        <v/>
      </c>
      <c r="P370" s="0" t="str">
        <f aca="false">IF(J370="Выполнено",ROW(),"")</f>
        <v/>
      </c>
    </row>
    <row r="371" customFormat="false" ht="21.75" hidden="false" customHeight="true" outlineLevel="0" collapsed="false">
      <c r="A371" s="31"/>
      <c r="B371" s="31"/>
      <c r="C371" s="32"/>
      <c r="D371" s="32"/>
      <c r="E371" s="33"/>
      <c r="F371" s="33"/>
      <c r="G371" s="32"/>
      <c r="H371" s="32"/>
      <c r="I371" s="31"/>
      <c r="J371" s="34" t="str">
        <f aca="true">IF(TRIM(A371)="","",IF(D371="Выполнено","Выполнено",IF(OR(C371="Срочно",AND(F371&lt;&gt;"",F371&lt;=TODAY())),"Срочные",IF(OR(D371="Отложено",C371="Низкий",AND(F371&lt;&gt;"",F371&gt;TODAY()+Справочники!$H$2)),"Плановые","Текущие"))))</f>
        <v/>
      </c>
      <c r="K371" s="35" t="str">
        <f aca="true">IF(OR(A371="",D371="Выполнено"),"",IF(F371="",IF(AND(G371&lt;&gt;"",G371&lt;&gt;"Разово"),"↻ "&amp;G371,""),IF(F371&lt;TODAY(),"Просрочено на "&amp;(TODAY()-F371)&amp;" дн.",IF(F371=TODAY(),"Сегодня",IF(F371=TODAY()+1,"Завтра","Через "&amp;(F371-TODAY())&amp;" дн.")))))</f>
        <v/>
      </c>
      <c r="L371" s="0" t="str">
        <f aca="true">IF(J371="","",(IF(AND(F371&lt;&gt;"",F371&lt;TODAY()),0,1)*10000000+IFERROR(MATCH(C371,{"Срочно","Высокий","Средний","Низкий"},0),5)*100000+IF(F371="",99999,F371))*1000+ROW())</f>
        <v/>
      </c>
      <c r="M371" s="0" t="str">
        <f aca="false">IF(AND($J371="Срочные",OR(Главная!$F$6="Все",$B371=Главная!$F$6),OR(Главная!$F$7="Все",$C371=Главная!$F$7)),$L371,"")</f>
        <v/>
      </c>
      <c r="N371" s="0" t="str">
        <f aca="false">IF(AND($J371="Текущие",OR(Главная!$F$6="Все",$B371=Главная!$F$6),OR(Главная!$F$7="Все",$C371=Главная!$F$7)),$L371,"")</f>
        <v/>
      </c>
      <c r="O371" s="0" t="str">
        <f aca="false">IF(AND($J371="Плановые",OR(Главная!$F$6="Все",$B371=Главная!$F$6),OR(Главная!$F$7="Все",$C371=Главная!$F$7)),$L371,"")</f>
        <v/>
      </c>
      <c r="P371" s="0" t="str">
        <f aca="false">IF(J371="Выполнено",ROW(),"")</f>
        <v/>
      </c>
    </row>
    <row r="372" customFormat="false" ht="21.75" hidden="false" customHeight="true" outlineLevel="0" collapsed="false">
      <c r="A372" s="31"/>
      <c r="B372" s="31"/>
      <c r="C372" s="32"/>
      <c r="D372" s="32"/>
      <c r="E372" s="33"/>
      <c r="F372" s="33"/>
      <c r="G372" s="32"/>
      <c r="H372" s="32"/>
      <c r="I372" s="31"/>
      <c r="J372" s="34" t="str">
        <f aca="true">IF(TRIM(A372)="","",IF(D372="Выполнено","Выполнено",IF(OR(C372="Срочно",AND(F372&lt;&gt;"",F372&lt;=TODAY())),"Срочные",IF(OR(D372="Отложено",C372="Низкий",AND(F372&lt;&gt;"",F372&gt;TODAY()+Справочники!$H$2)),"Плановые","Текущие"))))</f>
        <v/>
      </c>
      <c r="K372" s="35" t="str">
        <f aca="true">IF(OR(A372="",D372="Выполнено"),"",IF(F372="",IF(AND(G372&lt;&gt;"",G372&lt;&gt;"Разово"),"↻ "&amp;G372,""),IF(F372&lt;TODAY(),"Просрочено на "&amp;(TODAY()-F372)&amp;" дн.",IF(F372=TODAY(),"Сегодня",IF(F372=TODAY()+1,"Завтра","Через "&amp;(F372-TODAY())&amp;" дн.")))))</f>
        <v/>
      </c>
      <c r="L372" s="0" t="str">
        <f aca="true">IF(J372="","",(IF(AND(F372&lt;&gt;"",F372&lt;TODAY()),0,1)*10000000+IFERROR(MATCH(C372,{"Срочно","Высокий","Средний","Низкий"},0),5)*100000+IF(F372="",99999,F372))*1000+ROW())</f>
        <v/>
      </c>
      <c r="M372" s="0" t="str">
        <f aca="false">IF(AND($J372="Срочные",OR(Главная!$F$6="Все",$B372=Главная!$F$6),OR(Главная!$F$7="Все",$C372=Главная!$F$7)),$L372,"")</f>
        <v/>
      </c>
      <c r="N372" s="0" t="str">
        <f aca="false">IF(AND($J372="Текущие",OR(Главная!$F$6="Все",$B372=Главная!$F$6),OR(Главная!$F$7="Все",$C372=Главная!$F$7)),$L372,"")</f>
        <v/>
      </c>
      <c r="O372" s="0" t="str">
        <f aca="false">IF(AND($J372="Плановые",OR(Главная!$F$6="Все",$B372=Главная!$F$6),OR(Главная!$F$7="Все",$C372=Главная!$F$7)),$L372,"")</f>
        <v/>
      </c>
      <c r="P372" s="0" t="str">
        <f aca="false">IF(J372="Выполнено",ROW(),"")</f>
        <v/>
      </c>
    </row>
    <row r="373" customFormat="false" ht="21.75" hidden="false" customHeight="true" outlineLevel="0" collapsed="false">
      <c r="A373" s="31"/>
      <c r="B373" s="31"/>
      <c r="C373" s="32"/>
      <c r="D373" s="32"/>
      <c r="E373" s="33"/>
      <c r="F373" s="33"/>
      <c r="G373" s="32"/>
      <c r="H373" s="32"/>
      <c r="I373" s="31"/>
      <c r="J373" s="34" t="str">
        <f aca="true">IF(TRIM(A373)="","",IF(D373="Выполнено","Выполнено",IF(OR(C373="Срочно",AND(F373&lt;&gt;"",F373&lt;=TODAY())),"Срочные",IF(OR(D373="Отложено",C373="Низкий",AND(F373&lt;&gt;"",F373&gt;TODAY()+Справочники!$H$2)),"Плановые","Текущие"))))</f>
        <v/>
      </c>
      <c r="K373" s="35" t="str">
        <f aca="true">IF(OR(A373="",D373="Выполнено"),"",IF(F373="",IF(AND(G373&lt;&gt;"",G373&lt;&gt;"Разово"),"↻ "&amp;G373,""),IF(F373&lt;TODAY(),"Просрочено на "&amp;(TODAY()-F373)&amp;" дн.",IF(F373=TODAY(),"Сегодня",IF(F373=TODAY()+1,"Завтра","Через "&amp;(F373-TODAY())&amp;" дн.")))))</f>
        <v/>
      </c>
      <c r="L373" s="0" t="str">
        <f aca="true">IF(J373="","",(IF(AND(F373&lt;&gt;"",F373&lt;TODAY()),0,1)*10000000+IFERROR(MATCH(C373,{"Срочно","Высокий","Средний","Низкий"},0),5)*100000+IF(F373="",99999,F373))*1000+ROW())</f>
        <v/>
      </c>
      <c r="M373" s="0" t="str">
        <f aca="false">IF(AND($J373="Срочные",OR(Главная!$F$6="Все",$B373=Главная!$F$6),OR(Главная!$F$7="Все",$C373=Главная!$F$7)),$L373,"")</f>
        <v/>
      </c>
      <c r="N373" s="0" t="str">
        <f aca="false">IF(AND($J373="Текущие",OR(Главная!$F$6="Все",$B373=Главная!$F$6),OR(Главная!$F$7="Все",$C373=Главная!$F$7)),$L373,"")</f>
        <v/>
      </c>
      <c r="O373" s="0" t="str">
        <f aca="false">IF(AND($J373="Плановые",OR(Главная!$F$6="Все",$B373=Главная!$F$6),OR(Главная!$F$7="Все",$C373=Главная!$F$7)),$L373,"")</f>
        <v/>
      </c>
      <c r="P373" s="0" t="str">
        <f aca="false">IF(J373="Выполнено",ROW(),"")</f>
        <v/>
      </c>
    </row>
    <row r="374" customFormat="false" ht="21.75" hidden="false" customHeight="true" outlineLevel="0" collapsed="false">
      <c r="A374" s="31"/>
      <c r="B374" s="31"/>
      <c r="C374" s="32"/>
      <c r="D374" s="32"/>
      <c r="E374" s="33"/>
      <c r="F374" s="33"/>
      <c r="G374" s="32"/>
      <c r="H374" s="32"/>
      <c r="I374" s="31"/>
      <c r="J374" s="34" t="str">
        <f aca="true">IF(TRIM(A374)="","",IF(D374="Выполнено","Выполнено",IF(OR(C374="Срочно",AND(F374&lt;&gt;"",F374&lt;=TODAY())),"Срочные",IF(OR(D374="Отложено",C374="Низкий",AND(F374&lt;&gt;"",F374&gt;TODAY()+Справочники!$H$2)),"Плановые","Текущие"))))</f>
        <v/>
      </c>
      <c r="K374" s="35" t="str">
        <f aca="true">IF(OR(A374="",D374="Выполнено"),"",IF(F374="",IF(AND(G374&lt;&gt;"",G374&lt;&gt;"Разово"),"↻ "&amp;G374,""),IF(F374&lt;TODAY(),"Просрочено на "&amp;(TODAY()-F374)&amp;" дн.",IF(F374=TODAY(),"Сегодня",IF(F374=TODAY()+1,"Завтра","Через "&amp;(F374-TODAY())&amp;" дн.")))))</f>
        <v/>
      </c>
      <c r="L374" s="0" t="str">
        <f aca="true">IF(J374="","",(IF(AND(F374&lt;&gt;"",F374&lt;TODAY()),0,1)*10000000+IFERROR(MATCH(C374,{"Срочно","Высокий","Средний","Низкий"},0),5)*100000+IF(F374="",99999,F374))*1000+ROW())</f>
        <v/>
      </c>
      <c r="M374" s="0" t="str">
        <f aca="false">IF(AND($J374="Срочные",OR(Главная!$F$6="Все",$B374=Главная!$F$6),OR(Главная!$F$7="Все",$C374=Главная!$F$7)),$L374,"")</f>
        <v/>
      </c>
      <c r="N374" s="0" t="str">
        <f aca="false">IF(AND($J374="Текущие",OR(Главная!$F$6="Все",$B374=Главная!$F$6),OR(Главная!$F$7="Все",$C374=Главная!$F$7)),$L374,"")</f>
        <v/>
      </c>
      <c r="O374" s="0" t="str">
        <f aca="false">IF(AND($J374="Плановые",OR(Главная!$F$6="Все",$B374=Главная!$F$6),OR(Главная!$F$7="Все",$C374=Главная!$F$7)),$L374,"")</f>
        <v/>
      </c>
      <c r="P374" s="0" t="str">
        <f aca="false">IF(J374="Выполнено",ROW(),"")</f>
        <v/>
      </c>
    </row>
    <row r="375" customFormat="false" ht="21.75" hidden="false" customHeight="true" outlineLevel="0" collapsed="false">
      <c r="A375" s="31"/>
      <c r="B375" s="31"/>
      <c r="C375" s="32"/>
      <c r="D375" s="32"/>
      <c r="E375" s="33"/>
      <c r="F375" s="33"/>
      <c r="G375" s="32"/>
      <c r="H375" s="32"/>
      <c r="I375" s="31"/>
      <c r="J375" s="34" t="str">
        <f aca="true">IF(TRIM(A375)="","",IF(D375="Выполнено","Выполнено",IF(OR(C375="Срочно",AND(F375&lt;&gt;"",F375&lt;=TODAY())),"Срочные",IF(OR(D375="Отложено",C375="Низкий",AND(F375&lt;&gt;"",F375&gt;TODAY()+Справочники!$H$2)),"Плановые","Текущие"))))</f>
        <v/>
      </c>
      <c r="K375" s="35" t="str">
        <f aca="true">IF(OR(A375="",D375="Выполнено"),"",IF(F375="",IF(AND(G375&lt;&gt;"",G375&lt;&gt;"Разово"),"↻ "&amp;G375,""),IF(F375&lt;TODAY(),"Просрочено на "&amp;(TODAY()-F375)&amp;" дн.",IF(F375=TODAY(),"Сегодня",IF(F375=TODAY()+1,"Завтра","Через "&amp;(F375-TODAY())&amp;" дн.")))))</f>
        <v/>
      </c>
      <c r="L375" s="0" t="str">
        <f aca="true">IF(J375="","",(IF(AND(F375&lt;&gt;"",F375&lt;TODAY()),0,1)*10000000+IFERROR(MATCH(C375,{"Срочно","Высокий","Средний","Низкий"},0),5)*100000+IF(F375="",99999,F375))*1000+ROW())</f>
        <v/>
      </c>
      <c r="M375" s="0" t="str">
        <f aca="false">IF(AND($J375="Срочные",OR(Главная!$F$6="Все",$B375=Главная!$F$6),OR(Главная!$F$7="Все",$C375=Главная!$F$7)),$L375,"")</f>
        <v/>
      </c>
      <c r="N375" s="0" t="str">
        <f aca="false">IF(AND($J375="Текущие",OR(Главная!$F$6="Все",$B375=Главная!$F$6),OR(Главная!$F$7="Все",$C375=Главная!$F$7)),$L375,"")</f>
        <v/>
      </c>
      <c r="O375" s="0" t="str">
        <f aca="false">IF(AND($J375="Плановые",OR(Главная!$F$6="Все",$B375=Главная!$F$6),OR(Главная!$F$7="Все",$C375=Главная!$F$7)),$L375,"")</f>
        <v/>
      </c>
      <c r="P375" s="0" t="str">
        <f aca="false">IF(J375="Выполнено",ROW(),"")</f>
        <v/>
      </c>
    </row>
    <row r="376" customFormat="false" ht="21.75" hidden="false" customHeight="true" outlineLevel="0" collapsed="false">
      <c r="A376" s="31"/>
      <c r="B376" s="31"/>
      <c r="C376" s="32"/>
      <c r="D376" s="32"/>
      <c r="E376" s="33"/>
      <c r="F376" s="33"/>
      <c r="G376" s="32"/>
      <c r="H376" s="32"/>
      <c r="I376" s="31"/>
      <c r="J376" s="34" t="str">
        <f aca="true">IF(TRIM(A376)="","",IF(D376="Выполнено","Выполнено",IF(OR(C376="Срочно",AND(F376&lt;&gt;"",F376&lt;=TODAY())),"Срочные",IF(OR(D376="Отложено",C376="Низкий",AND(F376&lt;&gt;"",F376&gt;TODAY()+Справочники!$H$2)),"Плановые","Текущие"))))</f>
        <v/>
      </c>
      <c r="K376" s="35" t="str">
        <f aca="true">IF(OR(A376="",D376="Выполнено"),"",IF(F376="",IF(AND(G376&lt;&gt;"",G376&lt;&gt;"Разово"),"↻ "&amp;G376,""),IF(F376&lt;TODAY(),"Просрочено на "&amp;(TODAY()-F376)&amp;" дн.",IF(F376=TODAY(),"Сегодня",IF(F376=TODAY()+1,"Завтра","Через "&amp;(F376-TODAY())&amp;" дн.")))))</f>
        <v/>
      </c>
      <c r="L376" s="0" t="str">
        <f aca="true">IF(J376="","",(IF(AND(F376&lt;&gt;"",F376&lt;TODAY()),0,1)*10000000+IFERROR(MATCH(C376,{"Срочно","Высокий","Средний","Низкий"},0),5)*100000+IF(F376="",99999,F376))*1000+ROW())</f>
        <v/>
      </c>
      <c r="M376" s="0" t="str">
        <f aca="false">IF(AND($J376="Срочные",OR(Главная!$F$6="Все",$B376=Главная!$F$6),OR(Главная!$F$7="Все",$C376=Главная!$F$7)),$L376,"")</f>
        <v/>
      </c>
      <c r="N376" s="0" t="str">
        <f aca="false">IF(AND($J376="Текущие",OR(Главная!$F$6="Все",$B376=Главная!$F$6),OR(Главная!$F$7="Все",$C376=Главная!$F$7)),$L376,"")</f>
        <v/>
      </c>
      <c r="O376" s="0" t="str">
        <f aca="false">IF(AND($J376="Плановые",OR(Главная!$F$6="Все",$B376=Главная!$F$6),OR(Главная!$F$7="Все",$C376=Главная!$F$7)),$L376,"")</f>
        <v/>
      </c>
      <c r="P376" s="0" t="str">
        <f aca="false">IF(J376="Выполнено",ROW(),"")</f>
        <v/>
      </c>
    </row>
    <row r="377" customFormat="false" ht="21.75" hidden="false" customHeight="true" outlineLevel="0" collapsed="false">
      <c r="A377" s="31"/>
      <c r="B377" s="31"/>
      <c r="C377" s="32"/>
      <c r="D377" s="32"/>
      <c r="E377" s="33"/>
      <c r="F377" s="33"/>
      <c r="G377" s="32"/>
      <c r="H377" s="32"/>
      <c r="I377" s="31"/>
      <c r="J377" s="34" t="str">
        <f aca="true">IF(TRIM(A377)="","",IF(D377="Выполнено","Выполнено",IF(OR(C377="Срочно",AND(F377&lt;&gt;"",F377&lt;=TODAY())),"Срочные",IF(OR(D377="Отложено",C377="Низкий",AND(F377&lt;&gt;"",F377&gt;TODAY()+Справочники!$H$2)),"Плановые","Текущие"))))</f>
        <v/>
      </c>
      <c r="K377" s="35" t="str">
        <f aca="true">IF(OR(A377="",D377="Выполнено"),"",IF(F377="",IF(AND(G377&lt;&gt;"",G377&lt;&gt;"Разово"),"↻ "&amp;G377,""),IF(F377&lt;TODAY(),"Просрочено на "&amp;(TODAY()-F377)&amp;" дн.",IF(F377=TODAY(),"Сегодня",IF(F377=TODAY()+1,"Завтра","Через "&amp;(F377-TODAY())&amp;" дн.")))))</f>
        <v/>
      </c>
      <c r="L377" s="0" t="str">
        <f aca="true">IF(J377="","",(IF(AND(F377&lt;&gt;"",F377&lt;TODAY()),0,1)*10000000+IFERROR(MATCH(C377,{"Срочно","Высокий","Средний","Низкий"},0),5)*100000+IF(F377="",99999,F377))*1000+ROW())</f>
        <v/>
      </c>
      <c r="M377" s="0" t="str">
        <f aca="false">IF(AND($J377="Срочные",OR(Главная!$F$6="Все",$B377=Главная!$F$6),OR(Главная!$F$7="Все",$C377=Главная!$F$7)),$L377,"")</f>
        <v/>
      </c>
      <c r="N377" s="0" t="str">
        <f aca="false">IF(AND($J377="Текущие",OR(Главная!$F$6="Все",$B377=Главная!$F$6),OR(Главная!$F$7="Все",$C377=Главная!$F$7)),$L377,"")</f>
        <v/>
      </c>
      <c r="O377" s="0" t="str">
        <f aca="false">IF(AND($J377="Плановые",OR(Главная!$F$6="Все",$B377=Главная!$F$6),OR(Главная!$F$7="Все",$C377=Главная!$F$7)),$L377,"")</f>
        <v/>
      </c>
      <c r="P377" s="0" t="str">
        <f aca="false">IF(J377="Выполнено",ROW(),"")</f>
        <v/>
      </c>
    </row>
    <row r="378" customFormat="false" ht="21.75" hidden="false" customHeight="true" outlineLevel="0" collapsed="false">
      <c r="A378" s="31"/>
      <c r="B378" s="31"/>
      <c r="C378" s="32"/>
      <c r="D378" s="32"/>
      <c r="E378" s="33"/>
      <c r="F378" s="33"/>
      <c r="G378" s="32"/>
      <c r="H378" s="32"/>
      <c r="I378" s="31"/>
      <c r="J378" s="34" t="str">
        <f aca="true">IF(TRIM(A378)="","",IF(D378="Выполнено","Выполнено",IF(OR(C378="Срочно",AND(F378&lt;&gt;"",F378&lt;=TODAY())),"Срочные",IF(OR(D378="Отложено",C378="Низкий",AND(F378&lt;&gt;"",F378&gt;TODAY()+Справочники!$H$2)),"Плановые","Текущие"))))</f>
        <v/>
      </c>
      <c r="K378" s="35" t="str">
        <f aca="true">IF(OR(A378="",D378="Выполнено"),"",IF(F378="",IF(AND(G378&lt;&gt;"",G378&lt;&gt;"Разово"),"↻ "&amp;G378,""),IF(F378&lt;TODAY(),"Просрочено на "&amp;(TODAY()-F378)&amp;" дн.",IF(F378=TODAY(),"Сегодня",IF(F378=TODAY()+1,"Завтра","Через "&amp;(F378-TODAY())&amp;" дн.")))))</f>
        <v/>
      </c>
      <c r="L378" s="0" t="str">
        <f aca="true">IF(J378="","",(IF(AND(F378&lt;&gt;"",F378&lt;TODAY()),0,1)*10000000+IFERROR(MATCH(C378,{"Срочно","Высокий","Средний","Низкий"},0),5)*100000+IF(F378="",99999,F378))*1000+ROW())</f>
        <v/>
      </c>
      <c r="M378" s="0" t="str">
        <f aca="false">IF(AND($J378="Срочные",OR(Главная!$F$6="Все",$B378=Главная!$F$6),OR(Главная!$F$7="Все",$C378=Главная!$F$7)),$L378,"")</f>
        <v/>
      </c>
      <c r="N378" s="0" t="str">
        <f aca="false">IF(AND($J378="Текущие",OR(Главная!$F$6="Все",$B378=Главная!$F$6),OR(Главная!$F$7="Все",$C378=Главная!$F$7)),$L378,"")</f>
        <v/>
      </c>
      <c r="O378" s="0" t="str">
        <f aca="false">IF(AND($J378="Плановые",OR(Главная!$F$6="Все",$B378=Главная!$F$6),OR(Главная!$F$7="Все",$C378=Главная!$F$7)),$L378,"")</f>
        <v/>
      </c>
      <c r="P378" s="0" t="str">
        <f aca="false">IF(J378="Выполнено",ROW(),"")</f>
        <v/>
      </c>
    </row>
    <row r="379" customFormat="false" ht="21.75" hidden="false" customHeight="true" outlineLevel="0" collapsed="false">
      <c r="A379" s="31"/>
      <c r="B379" s="31"/>
      <c r="C379" s="32"/>
      <c r="D379" s="32"/>
      <c r="E379" s="33"/>
      <c r="F379" s="33"/>
      <c r="G379" s="32"/>
      <c r="H379" s="32"/>
      <c r="I379" s="31"/>
      <c r="J379" s="34" t="str">
        <f aca="true">IF(TRIM(A379)="","",IF(D379="Выполнено","Выполнено",IF(OR(C379="Срочно",AND(F379&lt;&gt;"",F379&lt;=TODAY())),"Срочные",IF(OR(D379="Отложено",C379="Низкий",AND(F379&lt;&gt;"",F379&gt;TODAY()+Справочники!$H$2)),"Плановые","Текущие"))))</f>
        <v/>
      </c>
      <c r="K379" s="35" t="str">
        <f aca="true">IF(OR(A379="",D379="Выполнено"),"",IF(F379="",IF(AND(G379&lt;&gt;"",G379&lt;&gt;"Разово"),"↻ "&amp;G379,""),IF(F379&lt;TODAY(),"Просрочено на "&amp;(TODAY()-F379)&amp;" дн.",IF(F379=TODAY(),"Сегодня",IF(F379=TODAY()+1,"Завтра","Через "&amp;(F379-TODAY())&amp;" дн.")))))</f>
        <v/>
      </c>
      <c r="L379" s="0" t="str">
        <f aca="true">IF(J379="","",(IF(AND(F379&lt;&gt;"",F379&lt;TODAY()),0,1)*10000000+IFERROR(MATCH(C379,{"Срочно","Высокий","Средний","Низкий"},0),5)*100000+IF(F379="",99999,F379))*1000+ROW())</f>
        <v/>
      </c>
      <c r="M379" s="0" t="str">
        <f aca="false">IF(AND($J379="Срочные",OR(Главная!$F$6="Все",$B379=Главная!$F$6),OR(Главная!$F$7="Все",$C379=Главная!$F$7)),$L379,"")</f>
        <v/>
      </c>
      <c r="N379" s="0" t="str">
        <f aca="false">IF(AND($J379="Текущие",OR(Главная!$F$6="Все",$B379=Главная!$F$6),OR(Главная!$F$7="Все",$C379=Главная!$F$7)),$L379,"")</f>
        <v/>
      </c>
      <c r="O379" s="0" t="str">
        <f aca="false">IF(AND($J379="Плановые",OR(Главная!$F$6="Все",$B379=Главная!$F$6),OR(Главная!$F$7="Все",$C379=Главная!$F$7)),$L379,"")</f>
        <v/>
      </c>
      <c r="P379" s="0" t="str">
        <f aca="false">IF(J379="Выполнено",ROW(),"")</f>
        <v/>
      </c>
    </row>
    <row r="380" customFormat="false" ht="21.75" hidden="false" customHeight="true" outlineLevel="0" collapsed="false">
      <c r="A380" s="31"/>
      <c r="B380" s="31"/>
      <c r="C380" s="32"/>
      <c r="D380" s="32"/>
      <c r="E380" s="33"/>
      <c r="F380" s="33"/>
      <c r="G380" s="32"/>
      <c r="H380" s="32"/>
      <c r="I380" s="31"/>
      <c r="J380" s="34" t="str">
        <f aca="true">IF(TRIM(A380)="","",IF(D380="Выполнено","Выполнено",IF(OR(C380="Срочно",AND(F380&lt;&gt;"",F380&lt;=TODAY())),"Срочные",IF(OR(D380="Отложено",C380="Низкий",AND(F380&lt;&gt;"",F380&gt;TODAY()+Справочники!$H$2)),"Плановые","Текущие"))))</f>
        <v/>
      </c>
      <c r="K380" s="35" t="str">
        <f aca="true">IF(OR(A380="",D380="Выполнено"),"",IF(F380="",IF(AND(G380&lt;&gt;"",G380&lt;&gt;"Разово"),"↻ "&amp;G380,""),IF(F380&lt;TODAY(),"Просрочено на "&amp;(TODAY()-F380)&amp;" дн.",IF(F380=TODAY(),"Сегодня",IF(F380=TODAY()+1,"Завтра","Через "&amp;(F380-TODAY())&amp;" дн.")))))</f>
        <v/>
      </c>
      <c r="L380" s="0" t="str">
        <f aca="true">IF(J380="","",(IF(AND(F380&lt;&gt;"",F380&lt;TODAY()),0,1)*10000000+IFERROR(MATCH(C380,{"Срочно","Высокий","Средний","Низкий"},0),5)*100000+IF(F380="",99999,F380))*1000+ROW())</f>
        <v/>
      </c>
      <c r="M380" s="0" t="str">
        <f aca="false">IF(AND($J380="Срочные",OR(Главная!$F$6="Все",$B380=Главная!$F$6),OR(Главная!$F$7="Все",$C380=Главная!$F$7)),$L380,"")</f>
        <v/>
      </c>
      <c r="N380" s="0" t="str">
        <f aca="false">IF(AND($J380="Текущие",OR(Главная!$F$6="Все",$B380=Главная!$F$6),OR(Главная!$F$7="Все",$C380=Главная!$F$7)),$L380,"")</f>
        <v/>
      </c>
      <c r="O380" s="0" t="str">
        <f aca="false">IF(AND($J380="Плановые",OR(Главная!$F$6="Все",$B380=Главная!$F$6),OR(Главная!$F$7="Все",$C380=Главная!$F$7)),$L380,"")</f>
        <v/>
      </c>
      <c r="P380" s="0" t="str">
        <f aca="false">IF(J380="Выполнено",ROW(),"")</f>
        <v/>
      </c>
    </row>
    <row r="381" customFormat="false" ht="21.75" hidden="false" customHeight="true" outlineLevel="0" collapsed="false">
      <c r="A381" s="31"/>
      <c r="B381" s="31"/>
      <c r="C381" s="32"/>
      <c r="D381" s="32"/>
      <c r="E381" s="33"/>
      <c r="F381" s="33"/>
      <c r="G381" s="32"/>
      <c r="H381" s="32"/>
      <c r="I381" s="31"/>
      <c r="J381" s="34" t="str">
        <f aca="true">IF(TRIM(A381)="","",IF(D381="Выполнено","Выполнено",IF(OR(C381="Срочно",AND(F381&lt;&gt;"",F381&lt;=TODAY())),"Срочные",IF(OR(D381="Отложено",C381="Низкий",AND(F381&lt;&gt;"",F381&gt;TODAY()+Справочники!$H$2)),"Плановые","Текущие"))))</f>
        <v/>
      </c>
      <c r="K381" s="35" t="str">
        <f aca="true">IF(OR(A381="",D381="Выполнено"),"",IF(F381="",IF(AND(G381&lt;&gt;"",G381&lt;&gt;"Разово"),"↻ "&amp;G381,""),IF(F381&lt;TODAY(),"Просрочено на "&amp;(TODAY()-F381)&amp;" дн.",IF(F381=TODAY(),"Сегодня",IF(F381=TODAY()+1,"Завтра","Через "&amp;(F381-TODAY())&amp;" дн.")))))</f>
        <v/>
      </c>
      <c r="L381" s="0" t="str">
        <f aca="true">IF(J381="","",(IF(AND(F381&lt;&gt;"",F381&lt;TODAY()),0,1)*10000000+IFERROR(MATCH(C381,{"Срочно","Высокий","Средний","Низкий"},0),5)*100000+IF(F381="",99999,F381))*1000+ROW())</f>
        <v/>
      </c>
      <c r="M381" s="0" t="str">
        <f aca="false">IF(AND($J381="Срочные",OR(Главная!$F$6="Все",$B381=Главная!$F$6),OR(Главная!$F$7="Все",$C381=Главная!$F$7)),$L381,"")</f>
        <v/>
      </c>
      <c r="N381" s="0" t="str">
        <f aca="false">IF(AND($J381="Текущие",OR(Главная!$F$6="Все",$B381=Главная!$F$6),OR(Главная!$F$7="Все",$C381=Главная!$F$7)),$L381,"")</f>
        <v/>
      </c>
      <c r="O381" s="0" t="str">
        <f aca="false">IF(AND($J381="Плановые",OR(Главная!$F$6="Все",$B381=Главная!$F$6),OR(Главная!$F$7="Все",$C381=Главная!$F$7)),$L381,"")</f>
        <v/>
      </c>
      <c r="P381" s="0" t="str">
        <f aca="false">IF(J381="Выполнено",ROW(),"")</f>
        <v/>
      </c>
    </row>
    <row r="382" customFormat="false" ht="21.75" hidden="false" customHeight="true" outlineLevel="0" collapsed="false">
      <c r="A382" s="31"/>
      <c r="B382" s="31"/>
      <c r="C382" s="32"/>
      <c r="D382" s="32"/>
      <c r="E382" s="33"/>
      <c r="F382" s="33"/>
      <c r="G382" s="32"/>
      <c r="H382" s="32"/>
      <c r="I382" s="31"/>
      <c r="J382" s="34" t="str">
        <f aca="true">IF(TRIM(A382)="","",IF(D382="Выполнено","Выполнено",IF(OR(C382="Срочно",AND(F382&lt;&gt;"",F382&lt;=TODAY())),"Срочные",IF(OR(D382="Отложено",C382="Низкий",AND(F382&lt;&gt;"",F382&gt;TODAY()+Справочники!$H$2)),"Плановые","Текущие"))))</f>
        <v/>
      </c>
      <c r="K382" s="35" t="str">
        <f aca="true">IF(OR(A382="",D382="Выполнено"),"",IF(F382="",IF(AND(G382&lt;&gt;"",G382&lt;&gt;"Разово"),"↻ "&amp;G382,""),IF(F382&lt;TODAY(),"Просрочено на "&amp;(TODAY()-F382)&amp;" дн.",IF(F382=TODAY(),"Сегодня",IF(F382=TODAY()+1,"Завтра","Через "&amp;(F382-TODAY())&amp;" дн.")))))</f>
        <v/>
      </c>
      <c r="L382" s="0" t="str">
        <f aca="true">IF(J382="","",(IF(AND(F382&lt;&gt;"",F382&lt;TODAY()),0,1)*10000000+IFERROR(MATCH(C382,{"Срочно","Высокий","Средний","Низкий"},0),5)*100000+IF(F382="",99999,F382))*1000+ROW())</f>
        <v/>
      </c>
      <c r="M382" s="0" t="str">
        <f aca="false">IF(AND($J382="Срочные",OR(Главная!$F$6="Все",$B382=Главная!$F$6),OR(Главная!$F$7="Все",$C382=Главная!$F$7)),$L382,"")</f>
        <v/>
      </c>
      <c r="N382" s="0" t="str">
        <f aca="false">IF(AND($J382="Текущие",OR(Главная!$F$6="Все",$B382=Главная!$F$6),OR(Главная!$F$7="Все",$C382=Главная!$F$7)),$L382,"")</f>
        <v/>
      </c>
      <c r="O382" s="0" t="str">
        <f aca="false">IF(AND($J382="Плановые",OR(Главная!$F$6="Все",$B382=Главная!$F$6),OR(Главная!$F$7="Все",$C382=Главная!$F$7)),$L382,"")</f>
        <v/>
      </c>
      <c r="P382" s="0" t="str">
        <f aca="false">IF(J382="Выполнено",ROW(),"")</f>
        <v/>
      </c>
    </row>
    <row r="383" customFormat="false" ht="21.75" hidden="false" customHeight="true" outlineLevel="0" collapsed="false">
      <c r="A383" s="31"/>
      <c r="B383" s="31"/>
      <c r="C383" s="32"/>
      <c r="D383" s="32"/>
      <c r="E383" s="33"/>
      <c r="F383" s="33"/>
      <c r="G383" s="32"/>
      <c r="H383" s="32"/>
      <c r="I383" s="31"/>
      <c r="J383" s="34" t="str">
        <f aca="true">IF(TRIM(A383)="","",IF(D383="Выполнено","Выполнено",IF(OR(C383="Срочно",AND(F383&lt;&gt;"",F383&lt;=TODAY())),"Срочные",IF(OR(D383="Отложено",C383="Низкий",AND(F383&lt;&gt;"",F383&gt;TODAY()+Справочники!$H$2)),"Плановые","Текущие"))))</f>
        <v/>
      </c>
      <c r="K383" s="35" t="str">
        <f aca="true">IF(OR(A383="",D383="Выполнено"),"",IF(F383="",IF(AND(G383&lt;&gt;"",G383&lt;&gt;"Разово"),"↻ "&amp;G383,""),IF(F383&lt;TODAY(),"Просрочено на "&amp;(TODAY()-F383)&amp;" дн.",IF(F383=TODAY(),"Сегодня",IF(F383=TODAY()+1,"Завтра","Через "&amp;(F383-TODAY())&amp;" дн.")))))</f>
        <v/>
      </c>
      <c r="L383" s="0" t="str">
        <f aca="true">IF(J383="","",(IF(AND(F383&lt;&gt;"",F383&lt;TODAY()),0,1)*10000000+IFERROR(MATCH(C383,{"Срочно","Высокий","Средний","Низкий"},0),5)*100000+IF(F383="",99999,F383))*1000+ROW())</f>
        <v/>
      </c>
      <c r="M383" s="0" t="str">
        <f aca="false">IF(AND($J383="Срочные",OR(Главная!$F$6="Все",$B383=Главная!$F$6),OR(Главная!$F$7="Все",$C383=Главная!$F$7)),$L383,"")</f>
        <v/>
      </c>
      <c r="N383" s="0" t="str">
        <f aca="false">IF(AND($J383="Текущие",OR(Главная!$F$6="Все",$B383=Главная!$F$6),OR(Главная!$F$7="Все",$C383=Главная!$F$7)),$L383,"")</f>
        <v/>
      </c>
      <c r="O383" s="0" t="str">
        <f aca="false">IF(AND($J383="Плановые",OR(Главная!$F$6="Все",$B383=Главная!$F$6),OR(Главная!$F$7="Все",$C383=Главная!$F$7)),$L383,"")</f>
        <v/>
      </c>
      <c r="P383" s="0" t="str">
        <f aca="false">IF(J383="Выполнено",ROW(),"")</f>
        <v/>
      </c>
    </row>
    <row r="384" customFormat="false" ht="21.75" hidden="false" customHeight="true" outlineLevel="0" collapsed="false">
      <c r="A384" s="31"/>
      <c r="B384" s="31"/>
      <c r="C384" s="32"/>
      <c r="D384" s="32"/>
      <c r="E384" s="33"/>
      <c r="F384" s="33"/>
      <c r="G384" s="32"/>
      <c r="H384" s="32"/>
      <c r="I384" s="31"/>
      <c r="J384" s="34" t="str">
        <f aca="true">IF(TRIM(A384)="","",IF(D384="Выполнено","Выполнено",IF(OR(C384="Срочно",AND(F384&lt;&gt;"",F384&lt;=TODAY())),"Срочные",IF(OR(D384="Отложено",C384="Низкий",AND(F384&lt;&gt;"",F384&gt;TODAY()+Справочники!$H$2)),"Плановые","Текущие"))))</f>
        <v/>
      </c>
      <c r="K384" s="35" t="str">
        <f aca="true">IF(OR(A384="",D384="Выполнено"),"",IF(F384="",IF(AND(G384&lt;&gt;"",G384&lt;&gt;"Разово"),"↻ "&amp;G384,""),IF(F384&lt;TODAY(),"Просрочено на "&amp;(TODAY()-F384)&amp;" дн.",IF(F384=TODAY(),"Сегодня",IF(F384=TODAY()+1,"Завтра","Через "&amp;(F384-TODAY())&amp;" дн.")))))</f>
        <v/>
      </c>
      <c r="L384" s="0" t="str">
        <f aca="true">IF(J384="","",(IF(AND(F384&lt;&gt;"",F384&lt;TODAY()),0,1)*10000000+IFERROR(MATCH(C384,{"Срочно","Высокий","Средний","Низкий"},0),5)*100000+IF(F384="",99999,F384))*1000+ROW())</f>
        <v/>
      </c>
      <c r="M384" s="0" t="str">
        <f aca="false">IF(AND($J384="Срочные",OR(Главная!$F$6="Все",$B384=Главная!$F$6),OR(Главная!$F$7="Все",$C384=Главная!$F$7)),$L384,"")</f>
        <v/>
      </c>
      <c r="N384" s="0" t="str">
        <f aca="false">IF(AND($J384="Текущие",OR(Главная!$F$6="Все",$B384=Главная!$F$6),OR(Главная!$F$7="Все",$C384=Главная!$F$7)),$L384,"")</f>
        <v/>
      </c>
      <c r="O384" s="0" t="str">
        <f aca="false">IF(AND($J384="Плановые",OR(Главная!$F$6="Все",$B384=Главная!$F$6),OR(Главная!$F$7="Все",$C384=Главная!$F$7)),$L384,"")</f>
        <v/>
      </c>
      <c r="P384" s="0" t="str">
        <f aca="false">IF(J384="Выполнено",ROW(),"")</f>
        <v/>
      </c>
    </row>
    <row r="385" customFormat="false" ht="21.75" hidden="false" customHeight="true" outlineLevel="0" collapsed="false">
      <c r="A385" s="31"/>
      <c r="B385" s="31"/>
      <c r="C385" s="32"/>
      <c r="D385" s="32"/>
      <c r="E385" s="33"/>
      <c r="F385" s="33"/>
      <c r="G385" s="32"/>
      <c r="H385" s="32"/>
      <c r="I385" s="31"/>
      <c r="J385" s="34" t="str">
        <f aca="true">IF(TRIM(A385)="","",IF(D385="Выполнено","Выполнено",IF(OR(C385="Срочно",AND(F385&lt;&gt;"",F385&lt;=TODAY())),"Срочные",IF(OR(D385="Отложено",C385="Низкий",AND(F385&lt;&gt;"",F385&gt;TODAY()+Справочники!$H$2)),"Плановые","Текущие"))))</f>
        <v/>
      </c>
      <c r="K385" s="35" t="str">
        <f aca="true">IF(OR(A385="",D385="Выполнено"),"",IF(F385="",IF(AND(G385&lt;&gt;"",G385&lt;&gt;"Разово"),"↻ "&amp;G385,""),IF(F385&lt;TODAY(),"Просрочено на "&amp;(TODAY()-F385)&amp;" дн.",IF(F385=TODAY(),"Сегодня",IF(F385=TODAY()+1,"Завтра","Через "&amp;(F385-TODAY())&amp;" дн.")))))</f>
        <v/>
      </c>
      <c r="L385" s="0" t="str">
        <f aca="true">IF(J385="","",(IF(AND(F385&lt;&gt;"",F385&lt;TODAY()),0,1)*10000000+IFERROR(MATCH(C385,{"Срочно","Высокий","Средний","Низкий"},0),5)*100000+IF(F385="",99999,F385))*1000+ROW())</f>
        <v/>
      </c>
      <c r="M385" s="0" t="str">
        <f aca="false">IF(AND($J385="Срочные",OR(Главная!$F$6="Все",$B385=Главная!$F$6),OR(Главная!$F$7="Все",$C385=Главная!$F$7)),$L385,"")</f>
        <v/>
      </c>
      <c r="N385" s="0" t="str">
        <f aca="false">IF(AND($J385="Текущие",OR(Главная!$F$6="Все",$B385=Главная!$F$6),OR(Главная!$F$7="Все",$C385=Главная!$F$7)),$L385,"")</f>
        <v/>
      </c>
      <c r="O385" s="0" t="str">
        <f aca="false">IF(AND($J385="Плановые",OR(Главная!$F$6="Все",$B385=Главная!$F$6),OR(Главная!$F$7="Все",$C385=Главная!$F$7)),$L385,"")</f>
        <v/>
      </c>
      <c r="P385" s="0" t="str">
        <f aca="false">IF(J385="Выполнено",ROW(),"")</f>
        <v/>
      </c>
    </row>
    <row r="386" customFormat="false" ht="21.75" hidden="false" customHeight="true" outlineLevel="0" collapsed="false">
      <c r="A386" s="31"/>
      <c r="B386" s="31"/>
      <c r="C386" s="32"/>
      <c r="D386" s="32"/>
      <c r="E386" s="33"/>
      <c r="F386" s="33"/>
      <c r="G386" s="32"/>
      <c r="H386" s="32"/>
      <c r="I386" s="31"/>
      <c r="J386" s="34" t="str">
        <f aca="true">IF(TRIM(A386)="","",IF(D386="Выполнено","Выполнено",IF(OR(C386="Срочно",AND(F386&lt;&gt;"",F386&lt;=TODAY())),"Срочные",IF(OR(D386="Отложено",C386="Низкий",AND(F386&lt;&gt;"",F386&gt;TODAY()+Справочники!$H$2)),"Плановые","Текущие"))))</f>
        <v/>
      </c>
      <c r="K386" s="35" t="str">
        <f aca="true">IF(OR(A386="",D386="Выполнено"),"",IF(F386="",IF(AND(G386&lt;&gt;"",G386&lt;&gt;"Разово"),"↻ "&amp;G386,""),IF(F386&lt;TODAY(),"Просрочено на "&amp;(TODAY()-F386)&amp;" дн.",IF(F386=TODAY(),"Сегодня",IF(F386=TODAY()+1,"Завтра","Через "&amp;(F386-TODAY())&amp;" дн.")))))</f>
        <v/>
      </c>
      <c r="L386" s="0" t="str">
        <f aca="true">IF(J386="","",(IF(AND(F386&lt;&gt;"",F386&lt;TODAY()),0,1)*10000000+IFERROR(MATCH(C386,{"Срочно","Высокий","Средний","Низкий"},0),5)*100000+IF(F386="",99999,F386))*1000+ROW())</f>
        <v/>
      </c>
      <c r="M386" s="0" t="str">
        <f aca="false">IF(AND($J386="Срочные",OR(Главная!$F$6="Все",$B386=Главная!$F$6),OR(Главная!$F$7="Все",$C386=Главная!$F$7)),$L386,"")</f>
        <v/>
      </c>
      <c r="N386" s="0" t="str">
        <f aca="false">IF(AND($J386="Текущие",OR(Главная!$F$6="Все",$B386=Главная!$F$6),OR(Главная!$F$7="Все",$C386=Главная!$F$7)),$L386,"")</f>
        <v/>
      </c>
      <c r="O386" s="0" t="str">
        <f aca="false">IF(AND($J386="Плановые",OR(Главная!$F$6="Все",$B386=Главная!$F$6),OR(Главная!$F$7="Все",$C386=Главная!$F$7)),$L386,"")</f>
        <v/>
      </c>
      <c r="P386" s="0" t="str">
        <f aca="false">IF(J386="Выполнено",ROW(),"")</f>
        <v/>
      </c>
    </row>
    <row r="387" customFormat="false" ht="21.75" hidden="false" customHeight="true" outlineLevel="0" collapsed="false">
      <c r="A387" s="31"/>
      <c r="B387" s="31"/>
      <c r="C387" s="32"/>
      <c r="D387" s="32"/>
      <c r="E387" s="33"/>
      <c r="F387" s="33"/>
      <c r="G387" s="32"/>
      <c r="H387" s="32"/>
      <c r="I387" s="31"/>
      <c r="J387" s="34" t="str">
        <f aca="true">IF(TRIM(A387)="","",IF(D387="Выполнено","Выполнено",IF(OR(C387="Срочно",AND(F387&lt;&gt;"",F387&lt;=TODAY())),"Срочные",IF(OR(D387="Отложено",C387="Низкий",AND(F387&lt;&gt;"",F387&gt;TODAY()+Справочники!$H$2)),"Плановые","Текущие"))))</f>
        <v/>
      </c>
      <c r="K387" s="35" t="str">
        <f aca="true">IF(OR(A387="",D387="Выполнено"),"",IF(F387="",IF(AND(G387&lt;&gt;"",G387&lt;&gt;"Разово"),"↻ "&amp;G387,""),IF(F387&lt;TODAY(),"Просрочено на "&amp;(TODAY()-F387)&amp;" дн.",IF(F387=TODAY(),"Сегодня",IF(F387=TODAY()+1,"Завтра","Через "&amp;(F387-TODAY())&amp;" дн.")))))</f>
        <v/>
      </c>
      <c r="L387" s="0" t="str">
        <f aca="true">IF(J387="","",(IF(AND(F387&lt;&gt;"",F387&lt;TODAY()),0,1)*10000000+IFERROR(MATCH(C387,{"Срочно","Высокий","Средний","Низкий"},0),5)*100000+IF(F387="",99999,F387))*1000+ROW())</f>
        <v/>
      </c>
      <c r="M387" s="0" t="str">
        <f aca="false">IF(AND($J387="Срочные",OR(Главная!$F$6="Все",$B387=Главная!$F$6),OR(Главная!$F$7="Все",$C387=Главная!$F$7)),$L387,"")</f>
        <v/>
      </c>
      <c r="N387" s="0" t="str">
        <f aca="false">IF(AND($J387="Текущие",OR(Главная!$F$6="Все",$B387=Главная!$F$6),OR(Главная!$F$7="Все",$C387=Главная!$F$7)),$L387,"")</f>
        <v/>
      </c>
      <c r="O387" s="0" t="str">
        <f aca="false">IF(AND($J387="Плановые",OR(Главная!$F$6="Все",$B387=Главная!$F$6),OR(Главная!$F$7="Все",$C387=Главная!$F$7)),$L387,"")</f>
        <v/>
      </c>
      <c r="P387" s="0" t="str">
        <f aca="false">IF(J387="Выполнено",ROW(),"")</f>
        <v/>
      </c>
    </row>
    <row r="388" customFormat="false" ht="21.75" hidden="false" customHeight="true" outlineLevel="0" collapsed="false">
      <c r="A388" s="31"/>
      <c r="B388" s="31"/>
      <c r="C388" s="32"/>
      <c r="D388" s="32"/>
      <c r="E388" s="33"/>
      <c r="F388" s="33"/>
      <c r="G388" s="32"/>
      <c r="H388" s="32"/>
      <c r="I388" s="31"/>
      <c r="J388" s="34" t="str">
        <f aca="true">IF(TRIM(A388)="","",IF(D388="Выполнено","Выполнено",IF(OR(C388="Срочно",AND(F388&lt;&gt;"",F388&lt;=TODAY())),"Срочные",IF(OR(D388="Отложено",C388="Низкий",AND(F388&lt;&gt;"",F388&gt;TODAY()+Справочники!$H$2)),"Плановые","Текущие"))))</f>
        <v/>
      </c>
      <c r="K388" s="35" t="str">
        <f aca="true">IF(OR(A388="",D388="Выполнено"),"",IF(F388="",IF(AND(G388&lt;&gt;"",G388&lt;&gt;"Разово"),"↻ "&amp;G388,""),IF(F388&lt;TODAY(),"Просрочено на "&amp;(TODAY()-F388)&amp;" дн.",IF(F388=TODAY(),"Сегодня",IF(F388=TODAY()+1,"Завтра","Через "&amp;(F388-TODAY())&amp;" дн.")))))</f>
        <v/>
      </c>
      <c r="L388" s="0" t="str">
        <f aca="true">IF(J388="","",(IF(AND(F388&lt;&gt;"",F388&lt;TODAY()),0,1)*10000000+IFERROR(MATCH(C388,{"Срочно","Высокий","Средний","Низкий"},0),5)*100000+IF(F388="",99999,F388))*1000+ROW())</f>
        <v/>
      </c>
      <c r="M388" s="0" t="str">
        <f aca="false">IF(AND($J388="Срочные",OR(Главная!$F$6="Все",$B388=Главная!$F$6),OR(Главная!$F$7="Все",$C388=Главная!$F$7)),$L388,"")</f>
        <v/>
      </c>
      <c r="N388" s="0" t="str">
        <f aca="false">IF(AND($J388="Текущие",OR(Главная!$F$6="Все",$B388=Главная!$F$6),OR(Главная!$F$7="Все",$C388=Главная!$F$7)),$L388,"")</f>
        <v/>
      </c>
      <c r="O388" s="0" t="str">
        <f aca="false">IF(AND($J388="Плановые",OR(Главная!$F$6="Все",$B388=Главная!$F$6),OR(Главная!$F$7="Все",$C388=Главная!$F$7)),$L388,"")</f>
        <v/>
      </c>
      <c r="P388" s="0" t="str">
        <f aca="false">IF(J388="Выполнено",ROW(),"")</f>
        <v/>
      </c>
    </row>
    <row r="389" customFormat="false" ht="21.75" hidden="false" customHeight="true" outlineLevel="0" collapsed="false">
      <c r="A389" s="31"/>
      <c r="B389" s="31"/>
      <c r="C389" s="32"/>
      <c r="D389" s="32"/>
      <c r="E389" s="33"/>
      <c r="F389" s="33"/>
      <c r="G389" s="32"/>
      <c r="H389" s="32"/>
      <c r="I389" s="31"/>
      <c r="J389" s="34" t="str">
        <f aca="true">IF(TRIM(A389)="","",IF(D389="Выполнено","Выполнено",IF(OR(C389="Срочно",AND(F389&lt;&gt;"",F389&lt;=TODAY())),"Срочные",IF(OR(D389="Отложено",C389="Низкий",AND(F389&lt;&gt;"",F389&gt;TODAY()+Справочники!$H$2)),"Плановые","Текущие"))))</f>
        <v/>
      </c>
      <c r="K389" s="35" t="str">
        <f aca="true">IF(OR(A389="",D389="Выполнено"),"",IF(F389="",IF(AND(G389&lt;&gt;"",G389&lt;&gt;"Разово"),"↻ "&amp;G389,""),IF(F389&lt;TODAY(),"Просрочено на "&amp;(TODAY()-F389)&amp;" дн.",IF(F389=TODAY(),"Сегодня",IF(F389=TODAY()+1,"Завтра","Через "&amp;(F389-TODAY())&amp;" дн.")))))</f>
        <v/>
      </c>
      <c r="L389" s="0" t="str">
        <f aca="true">IF(J389="","",(IF(AND(F389&lt;&gt;"",F389&lt;TODAY()),0,1)*10000000+IFERROR(MATCH(C389,{"Срочно","Высокий","Средний","Низкий"},0),5)*100000+IF(F389="",99999,F389))*1000+ROW())</f>
        <v/>
      </c>
      <c r="M389" s="0" t="str">
        <f aca="false">IF(AND($J389="Срочные",OR(Главная!$F$6="Все",$B389=Главная!$F$6),OR(Главная!$F$7="Все",$C389=Главная!$F$7)),$L389,"")</f>
        <v/>
      </c>
      <c r="N389" s="0" t="str">
        <f aca="false">IF(AND($J389="Текущие",OR(Главная!$F$6="Все",$B389=Главная!$F$6),OR(Главная!$F$7="Все",$C389=Главная!$F$7)),$L389,"")</f>
        <v/>
      </c>
      <c r="O389" s="0" t="str">
        <f aca="false">IF(AND($J389="Плановые",OR(Главная!$F$6="Все",$B389=Главная!$F$6),OR(Главная!$F$7="Все",$C389=Главная!$F$7)),$L389,"")</f>
        <v/>
      </c>
      <c r="P389" s="0" t="str">
        <f aca="false">IF(J389="Выполнено",ROW(),"")</f>
        <v/>
      </c>
    </row>
    <row r="390" customFormat="false" ht="21.75" hidden="false" customHeight="true" outlineLevel="0" collapsed="false">
      <c r="A390" s="31"/>
      <c r="B390" s="31"/>
      <c r="C390" s="32"/>
      <c r="D390" s="32"/>
      <c r="E390" s="33"/>
      <c r="F390" s="33"/>
      <c r="G390" s="32"/>
      <c r="H390" s="32"/>
      <c r="I390" s="31"/>
      <c r="J390" s="34" t="str">
        <f aca="true">IF(TRIM(A390)="","",IF(D390="Выполнено","Выполнено",IF(OR(C390="Срочно",AND(F390&lt;&gt;"",F390&lt;=TODAY())),"Срочные",IF(OR(D390="Отложено",C390="Низкий",AND(F390&lt;&gt;"",F390&gt;TODAY()+Справочники!$H$2)),"Плановые","Текущие"))))</f>
        <v/>
      </c>
      <c r="K390" s="35" t="str">
        <f aca="true">IF(OR(A390="",D390="Выполнено"),"",IF(F390="",IF(AND(G390&lt;&gt;"",G390&lt;&gt;"Разово"),"↻ "&amp;G390,""),IF(F390&lt;TODAY(),"Просрочено на "&amp;(TODAY()-F390)&amp;" дн.",IF(F390=TODAY(),"Сегодня",IF(F390=TODAY()+1,"Завтра","Через "&amp;(F390-TODAY())&amp;" дн.")))))</f>
        <v/>
      </c>
      <c r="L390" s="0" t="str">
        <f aca="true">IF(J390="","",(IF(AND(F390&lt;&gt;"",F390&lt;TODAY()),0,1)*10000000+IFERROR(MATCH(C390,{"Срочно","Высокий","Средний","Низкий"},0),5)*100000+IF(F390="",99999,F390))*1000+ROW())</f>
        <v/>
      </c>
      <c r="M390" s="0" t="str">
        <f aca="false">IF(AND($J390="Срочные",OR(Главная!$F$6="Все",$B390=Главная!$F$6),OR(Главная!$F$7="Все",$C390=Главная!$F$7)),$L390,"")</f>
        <v/>
      </c>
      <c r="N390" s="0" t="str">
        <f aca="false">IF(AND($J390="Текущие",OR(Главная!$F$6="Все",$B390=Главная!$F$6),OR(Главная!$F$7="Все",$C390=Главная!$F$7)),$L390,"")</f>
        <v/>
      </c>
      <c r="O390" s="0" t="str">
        <f aca="false">IF(AND($J390="Плановые",OR(Главная!$F$6="Все",$B390=Главная!$F$6),OR(Главная!$F$7="Все",$C390=Главная!$F$7)),$L390,"")</f>
        <v/>
      </c>
      <c r="P390" s="0" t="str">
        <f aca="false">IF(J390="Выполнено",ROW(),"")</f>
        <v/>
      </c>
    </row>
    <row r="391" customFormat="false" ht="21.75" hidden="false" customHeight="true" outlineLevel="0" collapsed="false">
      <c r="A391" s="31"/>
      <c r="B391" s="31"/>
      <c r="C391" s="32"/>
      <c r="D391" s="32"/>
      <c r="E391" s="33"/>
      <c r="F391" s="33"/>
      <c r="G391" s="32"/>
      <c r="H391" s="32"/>
      <c r="I391" s="31"/>
      <c r="J391" s="34" t="str">
        <f aca="true">IF(TRIM(A391)="","",IF(D391="Выполнено","Выполнено",IF(OR(C391="Срочно",AND(F391&lt;&gt;"",F391&lt;=TODAY())),"Срочные",IF(OR(D391="Отложено",C391="Низкий",AND(F391&lt;&gt;"",F391&gt;TODAY()+Справочники!$H$2)),"Плановые","Текущие"))))</f>
        <v/>
      </c>
      <c r="K391" s="35" t="str">
        <f aca="true">IF(OR(A391="",D391="Выполнено"),"",IF(F391="",IF(AND(G391&lt;&gt;"",G391&lt;&gt;"Разово"),"↻ "&amp;G391,""),IF(F391&lt;TODAY(),"Просрочено на "&amp;(TODAY()-F391)&amp;" дн.",IF(F391=TODAY(),"Сегодня",IF(F391=TODAY()+1,"Завтра","Через "&amp;(F391-TODAY())&amp;" дн.")))))</f>
        <v/>
      </c>
      <c r="L391" s="0" t="str">
        <f aca="true">IF(J391="","",(IF(AND(F391&lt;&gt;"",F391&lt;TODAY()),0,1)*10000000+IFERROR(MATCH(C391,{"Срочно","Высокий","Средний","Низкий"},0),5)*100000+IF(F391="",99999,F391))*1000+ROW())</f>
        <v/>
      </c>
      <c r="M391" s="0" t="str">
        <f aca="false">IF(AND($J391="Срочные",OR(Главная!$F$6="Все",$B391=Главная!$F$6),OR(Главная!$F$7="Все",$C391=Главная!$F$7)),$L391,"")</f>
        <v/>
      </c>
      <c r="N391" s="0" t="str">
        <f aca="false">IF(AND($J391="Текущие",OR(Главная!$F$6="Все",$B391=Главная!$F$6),OR(Главная!$F$7="Все",$C391=Главная!$F$7)),$L391,"")</f>
        <v/>
      </c>
      <c r="O391" s="0" t="str">
        <f aca="false">IF(AND($J391="Плановые",OR(Главная!$F$6="Все",$B391=Главная!$F$6),OR(Главная!$F$7="Все",$C391=Главная!$F$7)),$L391,"")</f>
        <v/>
      </c>
      <c r="P391" s="0" t="str">
        <f aca="false">IF(J391="Выполнено",ROW(),"")</f>
        <v/>
      </c>
    </row>
    <row r="392" customFormat="false" ht="21.75" hidden="false" customHeight="true" outlineLevel="0" collapsed="false">
      <c r="A392" s="31"/>
      <c r="B392" s="31"/>
      <c r="C392" s="32"/>
      <c r="D392" s="32"/>
      <c r="E392" s="33"/>
      <c r="F392" s="33"/>
      <c r="G392" s="32"/>
      <c r="H392" s="32"/>
      <c r="I392" s="31"/>
      <c r="J392" s="34" t="str">
        <f aca="true">IF(TRIM(A392)="","",IF(D392="Выполнено","Выполнено",IF(OR(C392="Срочно",AND(F392&lt;&gt;"",F392&lt;=TODAY())),"Срочные",IF(OR(D392="Отложено",C392="Низкий",AND(F392&lt;&gt;"",F392&gt;TODAY()+Справочники!$H$2)),"Плановые","Текущие"))))</f>
        <v/>
      </c>
      <c r="K392" s="35" t="str">
        <f aca="true">IF(OR(A392="",D392="Выполнено"),"",IF(F392="",IF(AND(G392&lt;&gt;"",G392&lt;&gt;"Разово"),"↻ "&amp;G392,""),IF(F392&lt;TODAY(),"Просрочено на "&amp;(TODAY()-F392)&amp;" дн.",IF(F392=TODAY(),"Сегодня",IF(F392=TODAY()+1,"Завтра","Через "&amp;(F392-TODAY())&amp;" дн.")))))</f>
        <v/>
      </c>
      <c r="L392" s="0" t="str">
        <f aca="true">IF(J392="","",(IF(AND(F392&lt;&gt;"",F392&lt;TODAY()),0,1)*10000000+IFERROR(MATCH(C392,{"Срочно","Высокий","Средний","Низкий"},0),5)*100000+IF(F392="",99999,F392))*1000+ROW())</f>
        <v/>
      </c>
      <c r="M392" s="0" t="str">
        <f aca="false">IF(AND($J392="Срочные",OR(Главная!$F$6="Все",$B392=Главная!$F$6),OR(Главная!$F$7="Все",$C392=Главная!$F$7)),$L392,"")</f>
        <v/>
      </c>
      <c r="N392" s="0" t="str">
        <f aca="false">IF(AND($J392="Текущие",OR(Главная!$F$6="Все",$B392=Главная!$F$6),OR(Главная!$F$7="Все",$C392=Главная!$F$7)),$L392,"")</f>
        <v/>
      </c>
      <c r="O392" s="0" t="str">
        <f aca="false">IF(AND($J392="Плановые",OR(Главная!$F$6="Все",$B392=Главная!$F$6),OR(Главная!$F$7="Все",$C392=Главная!$F$7)),$L392,"")</f>
        <v/>
      </c>
      <c r="P392" s="0" t="str">
        <f aca="false">IF(J392="Выполнено",ROW(),"")</f>
        <v/>
      </c>
    </row>
    <row r="393" customFormat="false" ht="21.75" hidden="false" customHeight="true" outlineLevel="0" collapsed="false">
      <c r="A393" s="31"/>
      <c r="B393" s="31"/>
      <c r="C393" s="32"/>
      <c r="D393" s="32"/>
      <c r="E393" s="33"/>
      <c r="F393" s="33"/>
      <c r="G393" s="32"/>
      <c r="H393" s="32"/>
      <c r="I393" s="31"/>
      <c r="J393" s="34" t="str">
        <f aca="true">IF(TRIM(A393)="","",IF(D393="Выполнено","Выполнено",IF(OR(C393="Срочно",AND(F393&lt;&gt;"",F393&lt;=TODAY())),"Срочные",IF(OR(D393="Отложено",C393="Низкий",AND(F393&lt;&gt;"",F393&gt;TODAY()+Справочники!$H$2)),"Плановые","Текущие"))))</f>
        <v/>
      </c>
      <c r="K393" s="35" t="str">
        <f aca="true">IF(OR(A393="",D393="Выполнено"),"",IF(F393="",IF(AND(G393&lt;&gt;"",G393&lt;&gt;"Разово"),"↻ "&amp;G393,""),IF(F393&lt;TODAY(),"Просрочено на "&amp;(TODAY()-F393)&amp;" дн.",IF(F393=TODAY(),"Сегодня",IF(F393=TODAY()+1,"Завтра","Через "&amp;(F393-TODAY())&amp;" дн.")))))</f>
        <v/>
      </c>
      <c r="L393" s="0" t="str">
        <f aca="true">IF(J393="","",(IF(AND(F393&lt;&gt;"",F393&lt;TODAY()),0,1)*10000000+IFERROR(MATCH(C393,{"Срочно","Высокий","Средний","Низкий"},0),5)*100000+IF(F393="",99999,F393))*1000+ROW())</f>
        <v/>
      </c>
      <c r="M393" s="0" t="str">
        <f aca="false">IF(AND($J393="Срочные",OR(Главная!$F$6="Все",$B393=Главная!$F$6),OR(Главная!$F$7="Все",$C393=Главная!$F$7)),$L393,"")</f>
        <v/>
      </c>
      <c r="N393" s="0" t="str">
        <f aca="false">IF(AND($J393="Текущие",OR(Главная!$F$6="Все",$B393=Главная!$F$6),OR(Главная!$F$7="Все",$C393=Главная!$F$7)),$L393,"")</f>
        <v/>
      </c>
      <c r="O393" s="0" t="str">
        <f aca="false">IF(AND($J393="Плановые",OR(Главная!$F$6="Все",$B393=Главная!$F$6),OR(Главная!$F$7="Все",$C393=Главная!$F$7)),$L393,"")</f>
        <v/>
      </c>
      <c r="P393" s="0" t="str">
        <f aca="false">IF(J393="Выполнено",ROW(),"")</f>
        <v/>
      </c>
    </row>
    <row r="394" customFormat="false" ht="21.75" hidden="false" customHeight="true" outlineLevel="0" collapsed="false">
      <c r="A394" s="31"/>
      <c r="B394" s="31"/>
      <c r="C394" s="32"/>
      <c r="D394" s="32"/>
      <c r="E394" s="33"/>
      <c r="F394" s="33"/>
      <c r="G394" s="32"/>
      <c r="H394" s="32"/>
      <c r="I394" s="31"/>
      <c r="J394" s="34" t="str">
        <f aca="true">IF(TRIM(A394)="","",IF(D394="Выполнено","Выполнено",IF(OR(C394="Срочно",AND(F394&lt;&gt;"",F394&lt;=TODAY())),"Срочные",IF(OR(D394="Отложено",C394="Низкий",AND(F394&lt;&gt;"",F394&gt;TODAY()+Справочники!$H$2)),"Плановые","Текущие"))))</f>
        <v/>
      </c>
      <c r="K394" s="35" t="str">
        <f aca="true">IF(OR(A394="",D394="Выполнено"),"",IF(F394="",IF(AND(G394&lt;&gt;"",G394&lt;&gt;"Разово"),"↻ "&amp;G394,""),IF(F394&lt;TODAY(),"Просрочено на "&amp;(TODAY()-F394)&amp;" дн.",IF(F394=TODAY(),"Сегодня",IF(F394=TODAY()+1,"Завтра","Через "&amp;(F394-TODAY())&amp;" дн.")))))</f>
        <v/>
      </c>
      <c r="L394" s="0" t="str">
        <f aca="true">IF(J394="","",(IF(AND(F394&lt;&gt;"",F394&lt;TODAY()),0,1)*10000000+IFERROR(MATCH(C394,{"Срочно","Высокий","Средний","Низкий"},0),5)*100000+IF(F394="",99999,F394))*1000+ROW())</f>
        <v/>
      </c>
      <c r="M394" s="0" t="str">
        <f aca="false">IF(AND($J394="Срочные",OR(Главная!$F$6="Все",$B394=Главная!$F$6),OR(Главная!$F$7="Все",$C394=Главная!$F$7)),$L394,"")</f>
        <v/>
      </c>
      <c r="N394" s="0" t="str">
        <f aca="false">IF(AND($J394="Текущие",OR(Главная!$F$6="Все",$B394=Главная!$F$6),OR(Главная!$F$7="Все",$C394=Главная!$F$7)),$L394,"")</f>
        <v/>
      </c>
      <c r="O394" s="0" t="str">
        <f aca="false">IF(AND($J394="Плановые",OR(Главная!$F$6="Все",$B394=Главная!$F$6),OR(Главная!$F$7="Все",$C394=Главная!$F$7)),$L394,"")</f>
        <v/>
      </c>
      <c r="P394" s="0" t="str">
        <f aca="false">IF(J394="Выполнено",ROW(),"")</f>
        <v/>
      </c>
    </row>
    <row r="395" customFormat="false" ht="21.75" hidden="false" customHeight="true" outlineLevel="0" collapsed="false">
      <c r="A395" s="31"/>
      <c r="B395" s="31"/>
      <c r="C395" s="32"/>
      <c r="D395" s="32"/>
      <c r="E395" s="33"/>
      <c r="F395" s="33"/>
      <c r="G395" s="32"/>
      <c r="H395" s="32"/>
      <c r="I395" s="31"/>
      <c r="J395" s="34" t="str">
        <f aca="true">IF(TRIM(A395)="","",IF(D395="Выполнено","Выполнено",IF(OR(C395="Срочно",AND(F395&lt;&gt;"",F395&lt;=TODAY())),"Срочные",IF(OR(D395="Отложено",C395="Низкий",AND(F395&lt;&gt;"",F395&gt;TODAY()+Справочники!$H$2)),"Плановые","Текущие"))))</f>
        <v/>
      </c>
      <c r="K395" s="35" t="str">
        <f aca="true">IF(OR(A395="",D395="Выполнено"),"",IF(F395="",IF(AND(G395&lt;&gt;"",G395&lt;&gt;"Разово"),"↻ "&amp;G395,""),IF(F395&lt;TODAY(),"Просрочено на "&amp;(TODAY()-F395)&amp;" дн.",IF(F395=TODAY(),"Сегодня",IF(F395=TODAY()+1,"Завтра","Через "&amp;(F395-TODAY())&amp;" дн.")))))</f>
        <v/>
      </c>
      <c r="L395" s="0" t="str">
        <f aca="true">IF(J395="","",(IF(AND(F395&lt;&gt;"",F395&lt;TODAY()),0,1)*10000000+IFERROR(MATCH(C395,{"Срочно","Высокий","Средний","Низкий"},0),5)*100000+IF(F395="",99999,F395))*1000+ROW())</f>
        <v/>
      </c>
      <c r="M395" s="0" t="str">
        <f aca="false">IF(AND($J395="Срочные",OR(Главная!$F$6="Все",$B395=Главная!$F$6),OR(Главная!$F$7="Все",$C395=Главная!$F$7)),$L395,"")</f>
        <v/>
      </c>
      <c r="N395" s="0" t="str">
        <f aca="false">IF(AND($J395="Текущие",OR(Главная!$F$6="Все",$B395=Главная!$F$6),OR(Главная!$F$7="Все",$C395=Главная!$F$7)),$L395,"")</f>
        <v/>
      </c>
      <c r="O395" s="0" t="str">
        <f aca="false">IF(AND($J395="Плановые",OR(Главная!$F$6="Все",$B395=Главная!$F$6),OR(Главная!$F$7="Все",$C395=Главная!$F$7)),$L395,"")</f>
        <v/>
      </c>
      <c r="P395" s="0" t="str">
        <f aca="false">IF(J395="Выполнено",ROW(),"")</f>
        <v/>
      </c>
    </row>
    <row r="396" customFormat="false" ht="21.75" hidden="false" customHeight="true" outlineLevel="0" collapsed="false">
      <c r="A396" s="31"/>
      <c r="B396" s="31"/>
      <c r="C396" s="32"/>
      <c r="D396" s="32"/>
      <c r="E396" s="33"/>
      <c r="F396" s="33"/>
      <c r="G396" s="32"/>
      <c r="H396" s="32"/>
      <c r="I396" s="31"/>
      <c r="J396" s="34" t="str">
        <f aca="true">IF(TRIM(A396)="","",IF(D396="Выполнено","Выполнено",IF(OR(C396="Срочно",AND(F396&lt;&gt;"",F396&lt;=TODAY())),"Срочные",IF(OR(D396="Отложено",C396="Низкий",AND(F396&lt;&gt;"",F396&gt;TODAY()+Справочники!$H$2)),"Плановые","Текущие"))))</f>
        <v/>
      </c>
      <c r="K396" s="35" t="str">
        <f aca="true">IF(OR(A396="",D396="Выполнено"),"",IF(F396="",IF(AND(G396&lt;&gt;"",G396&lt;&gt;"Разово"),"↻ "&amp;G396,""),IF(F396&lt;TODAY(),"Просрочено на "&amp;(TODAY()-F396)&amp;" дн.",IF(F396=TODAY(),"Сегодня",IF(F396=TODAY()+1,"Завтра","Через "&amp;(F396-TODAY())&amp;" дн.")))))</f>
        <v/>
      </c>
      <c r="L396" s="0" t="str">
        <f aca="true">IF(J396="","",(IF(AND(F396&lt;&gt;"",F396&lt;TODAY()),0,1)*10000000+IFERROR(MATCH(C396,{"Срочно","Высокий","Средний","Низкий"},0),5)*100000+IF(F396="",99999,F396))*1000+ROW())</f>
        <v/>
      </c>
      <c r="M396" s="0" t="str">
        <f aca="false">IF(AND($J396="Срочные",OR(Главная!$F$6="Все",$B396=Главная!$F$6),OR(Главная!$F$7="Все",$C396=Главная!$F$7)),$L396,"")</f>
        <v/>
      </c>
      <c r="N396" s="0" t="str">
        <f aca="false">IF(AND($J396="Текущие",OR(Главная!$F$6="Все",$B396=Главная!$F$6),OR(Главная!$F$7="Все",$C396=Главная!$F$7)),$L396,"")</f>
        <v/>
      </c>
      <c r="O396" s="0" t="str">
        <f aca="false">IF(AND($J396="Плановые",OR(Главная!$F$6="Все",$B396=Главная!$F$6),OR(Главная!$F$7="Все",$C396=Главная!$F$7)),$L396,"")</f>
        <v/>
      </c>
      <c r="P396" s="0" t="str">
        <f aca="false">IF(J396="Выполнено",ROW(),"")</f>
        <v/>
      </c>
    </row>
    <row r="397" customFormat="false" ht="21.75" hidden="false" customHeight="true" outlineLevel="0" collapsed="false">
      <c r="A397" s="31"/>
      <c r="B397" s="31"/>
      <c r="C397" s="32"/>
      <c r="D397" s="32"/>
      <c r="E397" s="33"/>
      <c r="F397" s="33"/>
      <c r="G397" s="32"/>
      <c r="H397" s="32"/>
      <c r="I397" s="31"/>
      <c r="J397" s="34" t="str">
        <f aca="true">IF(TRIM(A397)="","",IF(D397="Выполнено","Выполнено",IF(OR(C397="Срочно",AND(F397&lt;&gt;"",F397&lt;=TODAY())),"Срочные",IF(OR(D397="Отложено",C397="Низкий",AND(F397&lt;&gt;"",F397&gt;TODAY()+Справочники!$H$2)),"Плановые","Текущие"))))</f>
        <v/>
      </c>
      <c r="K397" s="35" t="str">
        <f aca="true">IF(OR(A397="",D397="Выполнено"),"",IF(F397="",IF(AND(G397&lt;&gt;"",G397&lt;&gt;"Разово"),"↻ "&amp;G397,""),IF(F397&lt;TODAY(),"Просрочено на "&amp;(TODAY()-F397)&amp;" дн.",IF(F397=TODAY(),"Сегодня",IF(F397=TODAY()+1,"Завтра","Через "&amp;(F397-TODAY())&amp;" дн.")))))</f>
        <v/>
      </c>
      <c r="L397" s="0" t="str">
        <f aca="true">IF(J397="","",(IF(AND(F397&lt;&gt;"",F397&lt;TODAY()),0,1)*10000000+IFERROR(MATCH(C397,{"Срочно","Высокий","Средний","Низкий"},0),5)*100000+IF(F397="",99999,F397))*1000+ROW())</f>
        <v/>
      </c>
      <c r="M397" s="0" t="str">
        <f aca="false">IF(AND($J397="Срочные",OR(Главная!$F$6="Все",$B397=Главная!$F$6),OR(Главная!$F$7="Все",$C397=Главная!$F$7)),$L397,"")</f>
        <v/>
      </c>
      <c r="N397" s="0" t="str">
        <f aca="false">IF(AND($J397="Текущие",OR(Главная!$F$6="Все",$B397=Главная!$F$6),OR(Главная!$F$7="Все",$C397=Главная!$F$7)),$L397,"")</f>
        <v/>
      </c>
      <c r="O397" s="0" t="str">
        <f aca="false">IF(AND($J397="Плановые",OR(Главная!$F$6="Все",$B397=Главная!$F$6),OR(Главная!$F$7="Все",$C397=Главная!$F$7)),$L397,"")</f>
        <v/>
      </c>
      <c r="P397" s="0" t="str">
        <f aca="false">IF(J397="Выполнено",ROW(),"")</f>
        <v/>
      </c>
    </row>
    <row r="398" customFormat="false" ht="21.75" hidden="false" customHeight="true" outlineLevel="0" collapsed="false">
      <c r="A398" s="31"/>
      <c r="B398" s="31"/>
      <c r="C398" s="32"/>
      <c r="D398" s="32"/>
      <c r="E398" s="33"/>
      <c r="F398" s="33"/>
      <c r="G398" s="32"/>
      <c r="H398" s="32"/>
      <c r="I398" s="31"/>
      <c r="J398" s="34" t="str">
        <f aca="true">IF(TRIM(A398)="","",IF(D398="Выполнено","Выполнено",IF(OR(C398="Срочно",AND(F398&lt;&gt;"",F398&lt;=TODAY())),"Срочные",IF(OR(D398="Отложено",C398="Низкий",AND(F398&lt;&gt;"",F398&gt;TODAY()+Справочники!$H$2)),"Плановые","Текущие"))))</f>
        <v/>
      </c>
      <c r="K398" s="35" t="str">
        <f aca="true">IF(OR(A398="",D398="Выполнено"),"",IF(F398="",IF(AND(G398&lt;&gt;"",G398&lt;&gt;"Разово"),"↻ "&amp;G398,""),IF(F398&lt;TODAY(),"Просрочено на "&amp;(TODAY()-F398)&amp;" дн.",IF(F398=TODAY(),"Сегодня",IF(F398=TODAY()+1,"Завтра","Через "&amp;(F398-TODAY())&amp;" дн.")))))</f>
        <v/>
      </c>
      <c r="L398" s="0" t="str">
        <f aca="true">IF(J398="","",(IF(AND(F398&lt;&gt;"",F398&lt;TODAY()),0,1)*10000000+IFERROR(MATCH(C398,{"Срочно","Высокий","Средний","Низкий"},0),5)*100000+IF(F398="",99999,F398))*1000+ROW())</f>
        <v/>
      </c>
      <c r="M398" s="0" t="str">
        <f aca="false">IF(AND($J398="Срочные",OR(Главная!$F$6="Все",$B398=Главная!$F$6),OR(Главная!$F$7="Все",$C398=Главная!$F$7)),$L398,"")</f>
        <v/>
      </c>
      <c r="N398" s="0" t="str">
        <f aca="false">IF(AND($J398="Текущие",OR(Главная!$F$6="Все",$B398=Главная!$F$6),OR(Главная!$F$7="Все",$C398=Главная!$F$7)),$L398,"")</f>
        <v/>
      </c>
      <c r="O398" s="0" t="str">
        <f aca="false">IF(AND($J398="Плановые",OR(Главная!$F$6="Все",$B398=Главная!$F$6),OR(Главная!$F$7="Все",$C398=Главная!$F$7)),$L398,"")</f>
        <v/>
      </c>
      <c r="P398" s="0" t="str">
        <f aca="false">IF(J398="Выполнено",ROW(),"")</f>
        <v/>
      </c>
    </row>
    <row r="399" customFormat="false" ht="21.75" hidden="false" customHeight="true" outlineLevel="0" collapsed="false">
      <c r="A399" s="31"/>
      <c r="B399" s="31"/>
      <c r="C399" s="32"/>
      <c r="D399" s="32"/>
      <c r="E399" s="33"/>
      <c r="F399" s="33"/>
      <c r="G399" s="32"/>
      <c r="H399" s="32"/>
      <c r="I399" s="31"/>
      <c r="J399" s="34" t="str">
        <f aca="true">IF(TRIM(A399)="","",IF(D399="Выполнено","Выполнено",IF(OR(C399="Срочно",AND(F399&lt;&gt;"",F399&lt;=TODAY())),"Срочные",IF(OR(D399="Отложено",C399="Низкий",AND(F399&lt;&gt;"",F399&gt;TODAY()+Справочники!$H$2)),"Плановые","Текущие"))))</f>
        <v/>
      </c>
      <c r="K399" s="35" t="str">
        <f aca="true">IF(OR(A399="",D399="Выполнено"),"",IF(F399="",IF(AND(G399&lt;&gt;"",G399&lt;&gt;"Разово"),"↻ "&amp;G399,""),IF(F399&lt;TODAY(),"Просрочено на "&amp;(TODAY()-F399)&amp;" дн.",IF(F399=TODAY(),"Сегодня",IF(F399=TODAY()+1,"Завтра","Через "&amp;(F399-TODAY())&amp;" дн.")))))</f>
        <v/>
      </c>
      <c r="L399" s="0" t="str">
        <f aca="true">IF(J399="","",(IF(AND(F399&lt;&gt;"",F399&lt;TODAY()),0,1)*10000000+IFERROR(MATCH(C399,{"Срочно","Высокий","Средний","Низкий"},0),5)*100000+IF(F399="",99999,F399))*1000+ROW())</f>
        <v/>
      </c>
      <c r="M399" s="0" t="str">
        <f aca="false">IF(AND($J399="Срочные",OR(Главная!$F$6="Все",$B399=Главная!$F$6),OR(Главная!$F$7="Все",$C399=Главная!$F$7)),$L399,"")</f>
        <v/>
      </c>
      <c r="N399" s="0" t="str">
        <f aca="false">IF(AND($J399="Текущие",OR(Главная!$F$6="Все",$B399=Главная!$F$6),OR(Главная!$F$7="Все",$C399=Главная!$F$7)),$L399,"")</f>
        <v/>
      </c>
      <c r="O399" s="0" t="str">
        <f aca="false">IF(AND($J399="Плановые",OR(Главная!$F$6="Все",$B399=Главная!$F$6),OR(Главная!$F$7="Все",$C399=Главная!$F$7)),$L399,"")</f>
        <v/>
      </c>
      <c r="P399" s="0" t="str">
        <f aca="false">IF(J399="Выполнено",ROW(),"")</f>
        <v/>
      </c>
    </row>
    <row r="400" customFormat="false" ht="21.75" hidden="false" customHeight="true" outlineLevel="0" collapsed="false">
      <c r="A400" s="31"/>
      <c r="B400" s="31"/>
      <c r="C400" s="32"/>
      <c r="D400" s="32"/>
      <c r="E400" s="33"/>
      <c r="F400" s="33"/>
      <c r="G400" s="32"/>
      <c r="H400" s="32"/>
      <c r="I400" s="31"/>
      <c r="J400" s="34" t="str">
        <f aca="true">IF(TRIM(A400)="","",IF(D400="Выполнено","Выполнено",IF(OR(C400="Срочно",AND(F400&lt;&gt;"",F400&lt;=TODAY())),"Срочные",IF(OR(D400="Отложено",C400="Низкий",AND(F400&lt;&gt;"",F400&gt;TODAY()+Справочники!$H$2)),"Плановые","Текущие"))))</f>
        <v/>
      </c>
      <c r="K400" s="35" t="str">
        <f aca="true">IF(OR(A400="",D400="Выполнено"),"",IF(F400="",IF(AND(G400&lt;&gt;"",G400&lt;&gt;"Разово"),"↻ "&amp;G400,""),IF(F400&lt;TODAY(),"Просрочено на "&amp;(TODAY()-F400)&amp;" дн.",IF(F400=TODAY(),"Сегодня",IF(F400=TODAY()+1,"Завтра","Через "&amp;(F400-TODAY())&amp;" дн.")))))</f>
        <v/>
      </c>
      <c r="L400" s="0" t="str">
        <f aca="true">IF(J400="","",(IF(AND(F400&lt;&gt;"",F400&lt;TODAY()),0,1)*10000000+IFERROR(MATCH(C400,{"Срочно","Высокий","Средний","Низкий"},0),5)*100000+IF(F400="",99999,F400))*1000+ROW())</f>
        <v/>
      </c>
      <c r="M400" s="0" t="str">
        <f aca="false">IF(AND($J400="Срочные",OR(Главная!$F$6="Все",$B400=Главная!$F$6),OR(Главная!$F$7="Все",$C400=Главная!$F$7)),$L400,"")</f>
        <v/>
      </c>
      <c r="N400" s="0" t="str">
        <f aca="false">IF(AND($J400="Текущие",OR(Главная!$F$6="Все",$B400=Главная!$F$6),OR(Главная!$F$7="Все",$C400=Главная!$F$7)),$L400,"")</f>
        <v/>
      </c>
      <c r="O400" s="0" t="str">
        <f aca="false">IF(AND($J400="Плановые",OR(Главная!$F$6="Все",$B400=Главная!$F$6),OR(Главная!$F$7="Все",$C400=Главная!$F$7)),$L400,"")</f>
        <v/>
      </c>
      <c r="P400" s="0" t="str">
        <f aca="false">IF(J400="Выполнено",ROW(),"")</f>
        <v/>
      </c>
    </row>
    <row r="401" customFormat="false" ht="21.75" hidden="false" customHeight="true" outlineLevel="0" collapsed="false">
      <c r="A401" s="31"/>
      <c r="B401" s="31"/>
      <c r="C401" s="32"/>
      <c r="D401" s="32"/>
      <c r="E401" s="33"/>
      <c r="F401" s="33"/>
      <c r="G401" s="32"/>
      <c r="H401" s="32"/>
      <c r="I401" s="31"/>
      <c r="J401" s="34" t="str">
        <f aca="true">IF(TRIM(A401)="","",IF(D401="Выполнено","Выполнено",IF(OR(C401="Срочно",AND(F401&lt;&gt;"",F401&lt;=TODAY())),"Срочные",IF(OR(D401="Отложено",C401="Низкий",AND(F401&lt;&gt;"",F401&gt;TODAY()+Справочники!$H$2)),"Плановые","Текущие"))))</f>
        <v/>
      </c>
      <c r="K401" s="35" t="str">
        <f aca="true">IF(OR(A401="",D401="Выполнено"),"",IF(F401="",IF(AND(G401&lt;&gt;"",G401&lt;&gt;"Разово"),"↻ "&amp;G401,""),IF(F401&lt;TODAY(),"Просрочено на "&amp;(TODAY()-F401)&amp;" дн.",IF(F401=TODAY(),"Сегодня",IF(F401=TODAY()+1,"Завтра","Через "&amp;(F401-TODAY())&amp;" дн.")))))</f>
        <v/>
      </c>
      <c r="L401" s="0" t="str">
        <f aca="true">IF(J401="","",(IF(AND(F401&lt;&gt;"",F401&lt;TODAY()),0,1)*10000000+IFERROR(MATCH(C401,{"Срочно","Высокий","Средний","Низкий"},0),5)*100000+IF(F401="",99999,F401))*1000+ROW())</f>
        <v/>
      </c>
      <c r="M401" s="0" t="str">
        <f aca="false">IF(AND($J401="Срочные",OR(Главная!$F$6="Все",$B401=Главная!$F$6),OR(Главная!$F$7="Все",$C401=Главная!$F$7)),$L401,"")</f>
        <v/>
      </c>
      <c r="N401" s="0" t="str">
        <f aca="false">IF(AND($J401="Текущие",OR(Главная!$F$6="Все",$B401=Главная!$F$6),OR(Главная!$F$7="Все",$C401=Главная!$F$7)),$L401,"")</f>
        <v/>
      </c>
      <c r="O401" s="0" t="str">
        <f aca="false">IF(AND($J401="Плановые",OR(Главная!$F$6="Все",$B401=Главная!$F$6),OR(Главная!$F$7="Все",$C401=Главная!$F$7)),$L401,"")</f>
        <v/>
      </c>
      <c r="P401" s="0" t="str">
        <f aca="false">IF(J401="Выполнено",ROW(),"")</f>
        <v/>
      </c>
    </row>
    <row r="402" customFormat="false" ht="21.75" hidden="false" customHeight="true" outlineLevel="0" collapsed="false">
      <c r="A402" s="31"/>
      <c r="B402" s="31"/>
      <c r="C402" s="32"/>
      <c r="D402" s="32"/>
      <c r="E402" s="33"/>
      <c r="F402" s="33"/>
      <c r="G402" s="32"/>
      <c r="H402" s="32"/>
      <c r="I402" s="31"/>
      <c r="J402" s="34" t="str">
        <f aca="true">IF(TRIM(A402)="","",IF(D402="Выполнено","Выполнено",IF(OR(C402="Срочно",AND(F402&lt;&gt;"",F402&lt;=TODAY())),"Срочные",IF(OR(D402="Отложено",C402="Низкий",AND(F402&lt;&gt;"",F402&gt;TODAY()+Справочники!$H$2)),"Плановые","Текущие"))))</f>
        <v/>
      </c>
      <c r="K402" s="35" t="str">
        <f aca="true">IF(OR(A402="",D402="Выполнено"),"",IF(F402="",IF(AND(G402&lt;&gt;"",G402&lt;&gt;"Разово"),"↻ "&amp;G402,""),IF(F402&lt;TODAY(),"Просрочено на "&amp;(TODAY()-F402)&amp;" дн.",IF(F402=TODAY(),"Сегодня",IF(F402=TODAY()+1,"Завтра","Через "&amp;(F402-TODAY())&amp;" дн.")))))</f>
        <v/>
      </c>
      <c r="L402" s="0" t="str">
        <f aca="true">IF(J402="","",(IF(AND(F402&lt;&gt;"",F402&lt;TODAY()),0,1)*10000000+IFERROR(MATCH(C402,{"Срочно","Высокий","Средний","Низкий"},0),5)*100000+IF(F402="",99999,F402))*1000+ROW())</f>
        <v/>
      </c>
      <c r="M402" s="0" t="str">
        <f aca="false">IF(AND($J402="Срочные",OR(Главная!$F$6="Все",$B402=Главная!$F$6),OR(Главная!$F$7="Все",$C402=Главная!$F$7)),$L402,"")</f>
        <v/>
      </c>
      <c r="N402" s="0" t="str">
        <f aca="false">IF(AND($J402="Текущие",OR(Главная!$F$6="Все",$B402=Главная!$F$6),OR(Главная!$F$7="Все",$C402=Главная!$F$7)),$L402,"")</f>
        <v/>
      </c>
      <c r="O402" s="0" t="str">
        <f aca="false">IF(AND($J402="Плановые",OR(Главная!$F$6="Все",$B402=Главная!$F$6),OR(Главная!$F$7="Все",$C402=Главная!$F$7)),$L402,"")</f>
        <v/>
      </c>
      <c r="P402" s="0" t="str">
        <f aca="false">IF(J402="Выполнено",ROW(),"")</f>
        <v/>
      </c>
    </row>
    <row r="403" customFormat="false" ht="21.75" hidden="false" customHeight="true" outlineLevel="0" collapsed="false">
      <c r="A403" s="31"/>
      <c r="B403" s="31"/>
      <c r="C403" s="32"/>
      <c r="D403" s="32"/>
      <c r="E403" s="33"/>
      <c r="F403" s="33"/>
      <c r="G403" s="32"/>
      <c r="H403" s="32"/>
      <c r="I403" s="31"/>
      <c r="J403" s="34" t="str">
        <f aca="true">IF(TRIM(A403)="","",IF(D403="Выполнено","Выполнено",IF(OR(C403="Срочно",AND(F403&lt;&gt;"",F403&lt;=TODAY())),"Срочные",IF(OR(D403="Отложено",C403="Низкий",AND(F403&lt;&gt;"",F403&gt;TODAY()+Справочники!$H$2)),"Плановые","Текущие"))))</f>
        <v/>
      </c>
      <c r="K403" s="35" t="str">
        <f aca="true">IF(OR(A403="",D403="Выполнено"),"",IF(F403="",IF(AND(G403&lt;&gt;"",G403&lt;&gt;"Разово"),"↻ "&amp;G403,""),IF(F403&lt;TODAY(),"Просрочено на "&amp;(TODAY()-F403)&amp;" дн.",IF(F403=TODAY(),"Сегодня",IF(F403=TODAY()+1,"Завтра","Через "&amp;(F403-TODAY())&amp;" дн.")))))</f>
        <v/>
      </c>
      <c r="L403" s="0" t="str">
        <f aca="true">IF(J403="","",(IF(AND(F403&lt;&gt;"",F403&lt;TODAY()),0,1)*10000000+IFERROR(MATCH(C403,{"Срочно","Высокий","Средний","Низкий"},0),5)*100000+IF(F403="",99999,F403))*1000+ROW())</f>
        <v/>
      </c>
      <c r="M403" s="0" t="str">
        <f aca="false">IF(AND($J403="Срочные",OR(Главная!$F$6="Все",$B403=Главная!$F$6),OR(Главная!$F$7="Все",$C403=Главная!$F$7)),$L403,"")</f>
        <v/>
      </c>
      <c r="N403" s="0" t="str">
        <f aca="false">IF(AND($J403="Текущие",OR(Главная!$F$6="Все",$B403=Главная!$F$6),OR(Главная!$F$7="Все",$C403=Главная!$F$7)),$L403,"")</f>
        <v/>
      </c>
      <c r="O403" s="0" t="str">
        <f aca="false">IF(AND($J403="Плановые",OR(Главная!$F$6="Все",$B403=Главная!$F$6),OR(Главная!$F$7="Все",$C403=Главная!$F$7)),$L403,"")</f>
        <v/>
      </c>
      <c r="P403" s="0" t="str">
        <f aca="false">IF(J403="Выполнено",ROW(),"")</f>
        <v/>
      </c>
    </row>
    <row r="404" customFormat="false" ht="21.75" hidden="false" customHeight="true" outlineLevel="0" collapsed="false">
      <c r="A404" s="31"/>
      <c r="B404" s="31"/>
      <c r="C404" s="32"/>
      <c r="D404" s="32"/>
      <c r="E404" s="33"/>
      <c r="F404" s="33"/>
      <c r="G404" s="32"/>
      <c r="H404" s="32"/>
      <c r="I404" s="31"/>
      <c r="J404" s="34" t="str">
        <f aca="true">IF(TRIM(A404)="","",IF(D404="Выполнено","Выполнено",IF(OR(C404="Срочно",AND(F404&lt;&gt;"",F404&lt;=TODAY())),"Срочные",IF(OR(D404="Отложено",C404="Низкий",AND(F404&lt;&gt;"",F404&gt;TODAY()+Справочники!$H$2)),"Плановые","Текущие"))))</f>
        <v/>
      </c>
      <c r="K404" s="35" t="str">
        <f aca="true">IF(OR(A404="",D404="Выполнено"),"",IF(F404="",IF(AND(G404&lt;&gt;"",G404&lt;&gt;"Разово"),"↻ "&amp;G404,""),IF(F404&lt;TODAY(),"Просрочено на "&amp;(TODAY()-F404)&amp;" дн.",IF(F404=TODAY(),"Сегодня",IF(F404=TODAY()+1,"Завтра","Через "&amp;(F404-TODAY())&amp;" дн.")))))</f>
        <v/>
      </c>
      <c r="L404" s="0" t="str">
        <f aca="true">IF(J404="","",(IF(AND(F404&lt;&gt;"",F404&lt;TODAY()),0,1)*10000000+IFERROR(MATCH(C404,{"Срочно","Высокий","Средний","Низкий"},0),5)*100000+IF(F404="",99999,F404))*1000+ROW())</f>
        <v/>
      </c>
      <c r="M404" s="0" t="str">
        <f aca="false">IF(AND($J404="Срочные",OR(Главная!$F$6="Все",$B404=Главная!$F$6),OR(Главная!$F$7="Все",$C404=Главная!$F$7)),$L404,"")</f>
        <v/>
      </c>
      <c r="N404" s="0" t="str">
        <f aca="false">IF(AND($J404="Текущие",OR(Главная!$F$6="Все",$B404=Главная!$F$6),OR(Главная!$F$7="Все",$C404=Главная!$F$7)),$L404,"")</f>
        <v/>
      </c>
      <c r="O404" s="0" t="str">
        <f aca="false">IF(AND($J404="Плановые",OR(Главная!$F$6="Все",$B404=Главная!$F$6),OR(Главная!$F$7="Все",$C404=Главная!$F$7)),$L404,"")</f>
        <v/>
      </c>
      <c r="P404" s="0" t="str">
        <f aca="false">IF(J404="Выполнено",ROW(),"")</f>
        <v/>
      </c>
    </row>
    <row r="405" customFormat="false" ht="21.75" hidden="false" customHeight="true" outlineLevel="0" collapsed="false">
      <c r="A405" s="31"/>
      <c r="B405" s="31"/>
      <c r="C405" s="32"/>
      <c r="D405" s="32"/>
      <c r="E405" s="33"/>
      <c r="F405" s="33"/>
      <c r="G405" s="32"/>
      <c r="H405" s="32"/>
      <c r="I405" s="31"/>
      <c r="J405" s="34" t="str">
        <f aca="true">IF(TRIM(A405)="","",IF(D405="Выполнено","Выполнено",IF(OR(C405="Срочно",AND(F405&lt;&gt;"",F405&lt;=TODAY())),"Срочные",IF(OR(D405="Отложено",C405="Низкий",AND(F405&lt;&gt;"",F405&gt;TODAY()+Справочники!$H$2)),"Плановые","Текущие"))))</f>
        <v/>
      </c>
      <c r="K405" s="35" t="str">
        <f aca="true">IF(OR(A405="",D405="Выполнено"),"",IF(F405="",IF(AND(G405&lt;&gt;"",G405&lt;&gt;"Разово"),"↻ "&amp;G405,""),IF(F405&lt;TODAY(),"Просрочено на "&amp;(TODAY()-F405)&amp;" дн.",IF(F405=TODAY(),"Сегодня",IF(F405=TODAY()+1,"Завтра","Через "&amp;(F405-TODAY())&amp;" дн.")))))</f>
        <v/>
      </c>
      <c r="L405" s="0" t="str">
        <f aca="true">IF(J405="","",(IF(AND(F405&lt;&gt;"",F405&lt;TODAY()),0,1)*10000000+IFERROR(MATCH(C405,{"Срочно","Высокий","Средний","Низкий"},0),5)*100000+IF(F405="",99999,F405))*1000+ROW())</f>
        <v/>
      </c>
      <c r="M405" s="0" t="str">
        <f aca="false">IF(AND($J405="Срочные",OR(Главная!$F$6="Все",$B405=Главная!$F$6),OR(Главная!$F$7="Все",$C405=Главная!$F$7)),$L405,"")</f>
        <v/>
      </c>
      <c r="N405" s="0" t="str">
        <f aca="false">IF(AND($J405="Текущие",OR(Главная!$F$6="Все",$B405=Главная!$F$6),OR(Главная!$F$7="Все",$C405=Главная!$F$7)),$L405,"")</f>
        <v/>
      </c>
      <c r="O405" s="0" t="str">
        <f aca="false">IF(AND($J405="Плановые",OR(Главная!$F$6="Все",$B405=Главная!$F$6),OR(Главная!$F$7="Все",$C405=Главная!$F$7)),$L405,"")</f>
        <v/>
      </c>
      <c r="P405" s="0" t="str">
        <f aca="false">IF(J405="Выполнено",ROW(),"")</f>
        <v/>
      </c>
    </row>
    <row r="406" customFormat="false" ht="21.75" hidden="false" customHeight="true" outlineLevel="0" collapsed="false">
      <c r="A406" s="31"/>
      <c r="B406" s="31"/>
      <c r="C406" s="32"/>
      <c r="D406" s="32"/>
      <c r="E406" s="33"/>
      <c r="F406" s="33"/>
      <c r="G406" s="32"/>
      <c r="H406" s="32"/>
      <c r="I406" s="31"/>
      <c r="J406" s="34" t="str">
        <f aca="true">IF(TRIM(A406)="","",IF(D406="Выполнено","Выполнено",IF(OR(C406="Срочно",AND(F406&lt;&gt;"",F406&lt;=TODAY())),"Срочные",IF(OR(D406="Отложено",C406="Низкий",AND(F406&lt;&gt;"",F406&gt;TODAY()+Справочники!$H$2)),"Плановые","Текущие"))))</f>
        <v/>
      </c>
      <c r="K406" s="35" t="str">
        <f aca="true">IF(OR(A406="",D406="Выполнено"),"",IF(F406="",IF(AND(G406&lt;&gt;"",G406&lt;&gt;"Разово"),"↻ "&amp;G406,""),IF(F406&lt;TODAY(),"Просрочено на "&amp;(TODAY()-F406)&amp;" дн.",IF(F406=TODAY(),"Сегодня",IF(F406=TODAY()+1,"Завтра","Через "&amp;(F406-TODAY())&amp;" дн.")))))</f>
        <v/>
      </c>
      <c r="L406" s="0" t="str">
        <f aca="true">IF(J406="","",(IF(AND(F406&lt;&gt;"",F406&lt;TODAY()),0,1)*10000000+IFERROR(MATCH(C406,{"Срочно","Высокий","Средний","Низкий"},0),5)*100000+IF(F406="",99999,F406))*1000+ROW())</f>
        <v/>
      </c>
      <c r="M406" s="0" t="str">
        <f aca="false">IF(AND($J406="Срочные",OR(Главная!$F$6="Все",$B406=Главная!$F$6),OR(Главная!$F$7="Все",$C406=Главная!$F$7)),$L406,"")</f>
        <v/>
      </c>
      <c r="N406" s="0" t="str">
        <f aca="false">IF(AND($J406="Текущие",OR(Главная!$F$6="Все",$B406=Главная!$F$6),OR(Главная!$F$7="Все",$C406=Главная!$F$7)),$L406,"")</f>
        <v/>
      </c>
      <c r="O406" s="0" t="str">
        <f aca="false">IF(AND($J406="Плановые",OR(Главная!$F$6="Все",$B406=Главная!$F$6),OR(Главная!$F$7="Все",$C406=Главная!$F$7)),$L406,"")</f>
        <v/>
      </c>
      <c r="P406" s="0" t="str">
        <f aca="false">IF(J406="Выполнено",ROW(),"")</f>
        <v/>
      </c>
    </row>
    <row r="407" customFormat="false" ht="21.75" hidden="false" customHeight="true" outlineLevel="0" collapsed="false">
      <c r="A407" s="31"/>
      <c r="B407" s="31"/>
      <c r="C407" s="32"/>
      <c r="D407" s="32"/>
      <c r="E407" s="33"/>
      <c r="F407" s="33"/>
      <c r="G407" s="32"/>
      <c r="H407" s="32"/>
      <c r="I407" s="31"/>
      <c r="J407" s="34" t="str">
        <f aca="true">IF(TRIM(A407)="","",IF(D407="Выполнено","Выполнено",IF(OR(C407="Срочно",AND(F407&lt;&gt;"",F407&lt;=TODAY())),"Срочные",IF(OR(D407="Отложено",C407="Низкий",AND(F407&lt;&gt;"",F407&gt;TODAY()+Справочники!$H$2)),"Плановые","Текущие"))))</f>
        <v/>
      </c>
      <c r="K407" s="35" t="str">
        <f aca="true">IF(OR(A407="",D407="Выполнено"),"",IF(F407="",IF(AND(G407&lt;&gt;"",G407&lt;&gt;"Разово"),"↻ "&amp;G407,""),IF(F407&lt;TODAY(),"Просрочено на "&amp;(TODAY()-F407)&amp;" дн.",IF(F407=TODAY(),"Сегодня",IF(F407=TODAY()+1,"Завтра","Через "&amp;(F407-TODAY())&amp;" дн.")))))</f>
        <v/>
      </c>
      <c r="L407" s="0" t="str">
        <f aca="true">IF(J407="","",(IF(AND(F407&lt;&gt;"",F407&lt;TODAY()),0,1)*10000000+IFERROR(MATCH(C407,{"Срочно","Высокий","Средний","Низкий"},0),5)*100000+IF(F407="",99999,F407))*1000+ROW())</f>
        <v/>
      </c>
      <c r="M407" s="0" t="str">
        <f aca="false">IF(AND($J407="Срочные",OR(Главная!$F$6="Все",$B407=Главная!$F$6),OR(Главная!$F$7="Все",$C407=Главная!$F$7)),$L407,"")</f>
        <v/>
      </c>
      <c r="N407" s="0" t="str">
        <f aca="false">IF(AND($J407="Текущие",OR(Главная!$F$6="Все",$B407=Главная!$F$6),OR(Главная!$F$7="Все",$C407=Главная!$F$7)),$L407,"")</f>
        <v/>
      </c>
      <c r="O407" s="0" t="str">
        <f aca="false">IF(AND($J407="Плановые",OR(Главная!$F$6="Все",$B407=Главная!$F$6),OR(Главная!$F$7="Все",$C407=Главная!$F$7)),$L407,"")</f>
        <v/>
      </c>
      <c r="P407" s="0" t="str">
        <f aca="false">IF(J407="Выполнено",ROW(),"")</f>
        <v/>
      </c>
    </row>
    <row r="408" customFormat="false" ht="21.75" hidden="false" customHeight="true" outlineLevel="0" collapsed="false">
      <c r="A408" s="31"/>
      <c r="B408" s="31"/>
      <c r="C408" s="32"/>
      <c r="D408" s="32"/>
      <c r="E408" s="33"/>
      <c r="F408" s="33"/>
      <c r="G408" s="32"/>
      <c r="H408" s="32"/>
      <c r="I408" s="31"/>
      <c r="J408" s="34" t="str">
        <f aca="true">IF(TRIM(A408)="","",IF(D408="Выполнено","Выполнено",IF(OR(C408="Срочно",AND(F408&lt;&gt;"",F408&lt;=TODAY())),"Срочные",IF(OR(D408="Отложено",C408="Низкий",AND(F408&lt;&gt;"",F408&gt;TODAY()+Справочники!$H$2)),"Плановые","Текущие"))))</f>
        <v/>
      </c>
      <c r="K408" s="35" t="str">
        <f aca="true">IF(OR(A408="",D408="Выполнено"),"",IF(F408="",IF(AND(G408&lt;&gt;"",G408&lt;&gt;"Разово"),"↻ "&amp;G408,""),IF(F408&lt;TODAY(),"Просрочено на "&amp;(TODAY()-F408)&amp;" дн.",IF(F408=TODAY(),"Сегодня",IF(F408=TODAY()+1,"Завтра","Через "&amp;(F408-TODAY())&amp;" дн.")))))</f>
        <v/>
      </c>
      <c r="L408" s="0" t="str">
        <f aca="true">IF(J408="","",(IF(AND(F408&lt;&gt;"",F408&lt;TODAY()),0,1)*10000000+IFERROR(MATCH(C408,{"Срочно","Высокий","Средний","Низкий"},0),5)*100000+IF(F408="",99999,F408))*1000+ROW())</f>
        <v/>
      </c>
      <c r="M408" s="0" t="str">
        <f aca="false">IF(AND($J408="Срочные",OR(Главная!$F$6="Все",$B408=Главная!$F$6),OR(Главная!$F$7="Все",$C408=Главная!$F$7)),$L408,"")</f>
        <v/>
      </c>
      <c r="N408" s="0" t="str">
        <f aca="false">IF(AND($J408="Текущие",OR(Главная!$F$6="Все",$B408=Главная!$F$6),OR(Главная!$F$7="Все",$C408=Главная!$F$7)),$L408,"")</f>
        <v/>
      </c>
      <c r="O408" s="0" t="str">
        <f aca="false">IF(AND($J408="Плановые",OR(Главная!$F$6="Все",$B408=Главная!$F$6),OR(Главная!$F$7="Все",$C408=Главная!$F$7)),$L408,"")</f>
        <v/>
      </c>
      <c r="P408" s="0" t="str">
        <f aca="false">IF(J408="Выполнено",ROW(),"")</f>
        <v/>
      </c>
    </row>
    <row r="409" customFormat="false" ht="21.75" hidden="false" customHeight="true" outlineLevel="0" collapsed="false">
      <c r="A409" s="31"/>
      <c r="B409" s="31"/>
      <c r="C409" s="32"/>
      <c r="D409" s="32"/>
      <c r="E409" s="33"/>
      <c r="F409" s="33"/>
      <c r="G409" s="32"/>
      <c r="H409" s="32"/>
      <c r="I409" s="31"/>
      <c r="J409" s="34" t="str">
        <f aca="true">IF(TRIM(A409)="","",IF(D409="Выполнено","Выполнено",IF(OR(C409="Срочно",AND(F409&lt;&gt;"",F409&lt;=TODAY())),"Срочные",IF(OR(D409="Отложено",C409="Низкий",AND(F409&lt;&gt;"",F409&gt;TODAY()+Справочники!$H$2)),"Плановые","Текущие"))))</f>
        <v/>
      </c>
      <c r="K409" s="35" t="str">
        <f aca="true">IF(OR(A409="",D409="Выполнено"),"",IF(F409="",IF(AND(G409&lt;&gt;"",G409&lt;&gt;"Разово"),"↻ "&amp;G409,""),IF(F409&lt;TODAY(),"Просрочено на "&amp;(TODAY()-F409)&amp;" дн.",IF(F409=TODAY(),"Сегодня",IF(F409=TODAY()+1,"Завтра","Через "&amp;(F409-TODAY())&amp;" дн.")))))</f>
        <v/>
      </c>
      <c r="L409" s="0" t="str">
        <f aca="true">IF(J409="","",(IF(AND(F409&lt;&gt;"",F409&lt;TODAY()),0,1)*10000000+IFERROR(MATCH(C409,{"Срочно","Высокий","Средний","Низкий"},0),5)*100000+IF(F409="",99999,F409))*1000+ROW())</f>
        <v/>
      </c>
      <c r="M409" s="0" t="str">
        <f aca="false">IF(AND($J409="Срочные",OR(Главная!$F$6="Все",$B409=Главная!$F$6),OR(Главная!$F$7="Все",$C409=Главная!$F$7)),$L409,"")</f>
        <v/>
      </c>
      <c r="N409" s="0" t="str">
        <f aca="false">IF(AND($J409="Текущие",OR(Главная!$F$6="Все",$B409=Главная!$F$6),OR(Главная!$F$7="Все",$C409=Главная!$F$7)),$L409,"")</f>
        <v/>
      </c>
      <c r="O409" s="0" t="str">
        <f aca="false">IF(AND($J409="Плановые",OR(Главная!$F$6="Все",$B409=Главная!$F$6),OR(Главная!$F$7="Все",$C409=Главная!$F$7)),$L409,"")</f>
        <v/>
      </c>
      <c r="P409" s="0" t="str">
        <f aca="false">IF(J409="Выполнено",ROW(),"")</f>
        <v/>
      </c>
    </row>
    <row r="410" customFormat="false" ht="21.75" hidden="false" customHeight="true" outlineLevel="0" collapsed="false">
      <c r="A410" s="31"/>
      <c r="B410" s="31"/>
      <c r="C410" s="32"/>
      <c r="D410" s="32"/>
      <c r="E410" s="33"/>
      <c r="F410" s="33"/>
      <c r="G410" s="32"/>
      <c r="H410" s="32"/>
      <c r="I410" s="31"/>
      <c r="J410" s="34" t="str">
        <f aca="true">IF(TRIM(A410)="","",IF(D410="Выполнено","Выполнено",IF(OR(C410="Срочно",AND(F410&lt;&gt;"",F410&lt;=TODAY())),"Срочные",IF(OR(D410="Отложено",C410="Низкий",AND(F410&lt;&gt;"",F410&gt;TODAY()+Справочники!$H$2)),"Плановые","Текущие"))))</f>
        <v/>
      </c>
      <c r="K410" s="35" t="str">
        <f aca="true">IF(OR(A410="",D410="Выполнено"),"",IF(F410="",IF(AND(G410&lt;&gt;"",G410&lt;&gt;"Разово"),"↻ "&amp;G410,""),IF(F410&lt;TODAY(),"Просрочено на "&amp;(TODAY()-F410)&amp;" дн.",IF(F410=TODAY(),"Сегодня",IF(F410=TODAY()+1,"Завтра","Через "&amp;(F410-TODAY())&amp;" дн.")))))</f>
        <v/>
      </c>
      <c r="L410" s="0" t="str">
        <f aca="true">IF(J410="","",(IF(AND(F410&lt;&gt;"",F410&lt;TODAY()),0,1)*10000000+IFERROR(MATCH(C410,{"Срочно","Высокий","Средний","Низкий"},0),5)*100000+IF(F410="",99999,F410))*1000+ROW())</f>
        <v/>
      </c>
      <c r="M410" s="0" t="str">
        <f aca="false">IF(AND($J410="Срочные",OR(Главная!$F$6="Все",$B410=Главная!$F$6),OR(Главная!$F$7="Все",$C410=Главная!$F$7)),$L410,"")</f>
        <v/>
      </c>
      <c r="N410" s="0" t="str">
        <f aca="false">IF(AND($J410="Текущие",OR(Главная!$F$6="Все",$B410=Главная!$F$6),OR(Главная!$F$7="Все",$C410=Главная!$F$7)),$L410,"")</f>
        <v/>
      </c>
      <c r="O410" s="0" t="str">
        <f aca="false">IF(AND($J410="Плановые",OR(Главная!$F$6="Все",$B410=Главная!$F$6),OR(Главная!$F$7="Все",$C410=Главная!$F$7)),$L410,"")</f>
        <v/>
      </c>
      <c r="P410" s="0" t="str">
        <f aca="false">IF(J410="Выполнено",ROW(),"")</f>
        <v/>
      </c>
    </row>
    <row r="411" customFormat="false" ht="21.75" hidden="false" customHeight="true" outlineLevel="0" collapsed="false">
      <c r="A411" s="31"/>
      <c r="B411" s="31"/>
      <c r="C411" s="32"/>
      <c r="D411" s="32"/>
      <c r="E411" s="33"/>
      <c r="F411" s="33"/>
      <c r="G411" s="32"/>
      <c r="H411" s="32"/>
      <c r="I411" s="31"/>
      <c r="J411" s="34" t="str">
        <f aca="true">IF(TRIM(A411)="","",IF(D411="Выполнено","Выполнено",IF(OR(C411="Срочно",AND(F411&lt;&gt;"",F411&lt;=TODAY())),"Срочные",IF(OR(D411="Отложено",C411="Низкий",AND(F411&lt;&gt;"",F411&gt;TODAY()+Справочники!$H$2)),"Плановые","Текущие"))))</f>
        <v/>
      </c>
      <c r="K411" s="35" t="str">
        <f aca="true">IF(OR(A411="",D411="Выполнено"),"",IF(F411="",IF(AND(G411&lt;&gt;"",G411&lt;&gt;"Разово"),"↻ "&amp;G411,""),IF(F411&lt;TODAY(),"Просрочено на "&amp;(TODAY()-F411)&amp;" дн.",IF(F411=TODAY(),"Сегодня",IF(F411=TODAY()+1,"Завтра","Через "&amp;(F411-TODAY())&amp;" дн.")))))</f>
        <v/>
      </c>
      <c r="L411" s="0" t="str">
        <f aca="true">IF(J411="","",(IF(AND(F411&lt;&gt;"",F411&lt;TODAY()),0,1)*10000000+IFERROR(MATCH(C411,{"Срочно","Высокий","Средний","Низкий"},0),5)*100000+IF(F411="",99999,F411))*1000+ROW())</f>
        <v/>
      </c>
      <c r="M411" s="0" t="str">
        <f aca="false">IF(AND($J411="Срочные",OR(Главная!$F$6="Все",$B411=Главная!$F$6),OR(Главная!$F$7="Все",$C411=Главная!$F$7)),$L411,"")</f>
        <v/>
      </c>
      <c r="N411" s="0" t="str">
        <f aca="false">IF(AND($J411="Текущие",OR(Главная!$F$6="Все",$B411=Главная!$F$6),OR(Главная!$F$7="Все",$C411=Главная!$F$7)),$L411,"")</f>
        <v/>
      </c>
      <c r="O411" s="0" t="str">
        <f aca="false">IF(AND($J411="Плановые",OR(Главная!$F$6="Все",$B411=Главная!$F$6),OR(Главная!$F$7="Все",$C411=Главная!$F$7)),$L411,"")</f>
        <v/>
      </c>
      <c r="P411" s="0" t="str">
        <f aca="false">IF(J411="Выполнено",ROW(),"")</f>
        <v/>
      </c>
    </row>
    <row r="412" customFormat="false" ht="21.75" hidden="false" customHeight="true" outlineLevel="0" collapsed="false">
      <c r="A412" s="31"/>
      <c r="B412" s="31"/>
      <c r="C412" s="32"/>
      <c r="D412" s="32"/>
      <c r="E412" s="33"/>
      <c r="F412" s="33"/>
      <c r="G412" s="32"/>
      <c r="H412" s="32"/>
      <c r="I412" s="31"/>
      <c r="J412" s="34" t="str">
        <f aca="true">IF(TRIM(A412)="","",IF(D412="Выполнено","Выполнено",IF(OR(C412="Срочно",AND(F412&lt;&gt;"",F412&lt;=TODAY())),"Срочные",IF(OR(D412="Отложено",C412="Низкий",AND(F412&lt;&gt;"",F412&gt;TODAY()+Справочники!$H$2)),"Плановые","Текущие"))))</f>
        <v/>
      </c>
      <c r="K412" s="35" t="str">
        <f aca="true">IF(OR(A412="",D412="Выполнено"),"",IF(F412="",IF(AND(G412&lt;&gt;"",G412&lt;&gt;"Разово"),"↻ "&amp;G412,""),IF(F412&lt;TODAY(),"Просрочено на "&amp;(TODAY()-F412)&amp;" дн.",IF(F412=TODAY(),"Сегодня",IF(F412=TODAY()+1,"Завтра","Через "&amp;(F412-TODAY())&amp;" дн.")))))</f>
        <v/>
      </c>
      <c r="L412" s="0" t="str">
        <f aca="true">IF(J412="","",(IF(AND(F412&lt;&gt;"",F412&lt;TODAY()),0,1)*10000000+IFERROR(MATCH(C412,{"Срочно","Высокий","Средний","Низкий"},0),5)*100000+IF(F412="",99999,F412))*1000+ROW())</f>
        <v/>
      </c>
      <c r="M412" s="0" t="str">
        <f aca="false">IF(AND($J412="Срочные",OR(Главная!$F$6="Все",$B412=Главная!$F$6),OR(Главная!$F$7="Все",$C412=Главная!$F$7)),$L412,"")</f>
        <v/>
      </c>
      <c r="N412" s="0" t="str">
        <f aca="false">IF(AND($J412="Текущие",OR(Главная!$F$6="Все",$B412=Главная!$F$6),OR(Главная!$F$7="Все",$C412=Главная!$F$7)),$L412,"")</f>
        <v/>
      </c>
      <c r="O412" s="0" t="str">
        <f aca="false">IF(AND($J412="Плановые",OR(Главная!$F$6="Все",$B412=Главная!$F$6),OR(Главная!$F$7="Все",$C412=Главная!$F$7)),$L412,"")</f>
        <v/>
      </c>
      <c r="P412" s="0" t="str">
        <f aca="false">IF(J412="Выполнено",ROW(),"")</f>
        <v/>
      </c>
    </row>
    <row r="413" customFormat="false" ht="21.75" hidden="false" customHeight="true" outlineLevel="0" collapsed="false">
      <c r="A413" s="31"/>
      <c r="B413" s="31"/>
      <c r="C413" s="32"/>
      <c r="D413" s="32"/>
      <c r="E413" s="33"/>
      <c r="F413" s="33"/>
      <c r="G413" s="32"/>
      <c r="H413" s="32"/>
      <c r="I413" s="31"/>
      <c r="J413" s="34" t="str">
        <f aca="true">IF(TRIM(A413)="","",IF(D413="Выполнено","Выполнено",IF(OR(C413="Срочно",AND(F413&lt;&gt;"",F413&lt;=TODAY())),"Срочные",IF(OR(D413="Отложено",C413="Низкий",AND(F413&lt;&gt;"",F413&gt;TODAY()+Справочники!$H$2)),"Плановые","Текущие"))))</f>
        <v/>
      </c>
      <c r="K413" s="35" t="str">
        <f aca="true">IF(OR(A413="",D413="Выполнено"),"",IF(F413="",IF(AND(G413&lt;&gt;"",G413&lt;&gt;"Разово"),"↻ "&amp;G413,""),IF(F413&lt;TODAY(),"Просрочено на "&amp;(TODAY()-F413)&amp;" дн.",IF(F413=TODAY(),"Сегодня",IF(F413=TODAY()+1,"Завтра","Через "&amp;(F413-TODAY())&amp;" дн.")))))</f>
        <v/>
      </c>
      <c r="L413" s="0" t="str">
        <f aca="true">IF(J413="","",(IF(AND(F413&lt;&gt;"",F413&lt;TODAY()),0,1)*10000000+IFERROR(MATCH(C413,{"Срочно","Высокий","Средний","Низкий"},0),5)*100000+IF(F413="",99999,F413))*1000+ROW())</f>
        <v/>
      </c>
      <c r="M413" s="0" t="str">
        <f aca="false">IF(AND($J413="Срочные",OR(Главная!$F$6="Все",$B413=Главная!$F$6),OR(Главная!$F$7="Все",$C413=Главная!$F$7)),$L413,"")</f>
        <v/>
      </c>
      <c r="N413" s="0" t="str">
        <f aca="false">IF(AND($J413="Текущие",OR(Главная!$F$6="Все",$B413=Главная!$F$6),OR(Главная!$F$7="Все",$C413=Главная!$F$7)),$L413,"")</f>
        <v/>
      </c>
      <c r="O413" s="0" t="str">
        <f aca="false">IF(AND($J413="Плановые",OR(Главная!$F$6="Все",$B413=Главная!$F$6),OR(Главная!$F$7="Все",$C413=Главная!$F$7)),$L413,"")</f>
        <v/>
      </c>
      <c r="P413" s="0" t="str">
        <f aca="false">IF(J413="Выполнено",ROW(),"")</f>
        <v/>
      </c>
    </row>
    <row r="414" customFormat="false" ht="21.75" hidden="false" customHeight="true" outlineLevel="0" collapsed="false">
      <c r="A414" s="31"/>
      <c r="B414" s="31"/>
      <c r="C414" s="32"/>
      <c r="D414" s="32"/>
      <c r="E414" s="33"/>
      <c r="F414" s="33"/>
      <c r="G414" s="32"/>
      <c r="H414" s="32"/>
      <c r="I414" s="31"/>
      <c r="J414" s="34" t="str">
        <f aca="true">IF(TRIM(A414)="","",IF(D414="Выполнено","Выполнено",IF(OR(C414="Срочно",AND(F414&lt;&gt;"",F414&lt;=TODAY())),"Срочные",IF(OR(D414="Отложено",C414="Низкий",AND(F414&lt;&gt;"",F414&gt;TODAY()+Справочники!$H$2)),"Плановые","Текущие"))))</f>
        <v/>
      </c>
      <c r="K414" s="35" t="str">
        <f aca="true">IF(OR(A414="",D414="Выполнено"),"",IF(F414="",IF(AND(G414&lt;&gt;"",G414&lt;&gt;"Разово"),"↻ "&amp;G414,""),IF(F414&lt;TODAY(),"Просрочено на "&amp;(TODAY()-F414)&amp;" дн.",IF(F414=TODAY(),"Сегодня",IF(F414=TODAY()+1,"Завтра","Через "&amp;(F414-TODAY())&amp;" дн.")))))</f>
        <v/>
      </c>
      <c r="L414" s="0" t="str">
        <f aca="true">IF(J414="","",(IF(AND(F414&lt;&gt;"",F414&lt;TODAY()),0,1)*10000000+IFERROR(MATCH(C414,{"Срочно","Высокий","Средний","Низкий"},0),5)*100000+IF(F414="",99999,F414))*1000+ROW())</f>
        <v/>
      </c>
      <c r="M414" s="0" t="str">
        <f aca="false">IF(AND($J414="Срочные",OR(Главная!$F$6="Все",$B414=Главная!$F$6),OR(Главная!$F$7="Все",$C414=Главная!$F$7)),$L414,"")</f>
        <v/>
      </c>
      <c r="N414" s="0" t="str">
        <f aca="false">IF(AND($J414="Текущие",OR(Главная!$F$6="Все",$B414=Главная!$F$6),OR(Главная!$F$7="Все",$C414=Главная!$F$7)),$L414,"")</f>
        <v/>
      </c>
      <c r="O414" s="0" t="str">
        <f aca="false">IF(AND($J414="Плановые",OR(Главная!$F$6="Все",$B414=Главная!$F$6),OR(Главная!$F$7="Все",$C414=Главная!$F$7)),$L414,"")</f>
        <v/>
      </c>
      <c r="P414" s="0" t="str">
        <f aca="false">IF(J414="Выполнено",ROW(),"")</f>
        <v/>
      </c>
    </row>
    <row r="415" customFormat="false" ht="21.75" hidden="false" customHeight="true" outlineLevel="0" collapsed="false">
      <c r="A415" s="31"/>
      <c r="B415" s="31"/>
      <c r="C415" s="32"/>
      <c r="D415" s="32"/>
      <c r="E415" s="33"/>
      <c r="F415" s="33"/>
      <c r="G415" s="32"/>
      <c r="H415" s="32"/>
      <c r="I415" s="31"/>
      <c r="J415" s="34" t="str">
        <f aca="true">IF(TRIM(A415)="","",IF(D415="Выполнено","Выполнено",IF(OR(C415="Срочно",AND(F415&lt;&gt;"",F415&lt;=TODAY())),"Срочные",IF(OR(D415="Отложено",C415="Низкий",AND(F415&lt;&gt;"",F415&gt;TODAY()+Справочники!$H$2)),"Плановые","Текущие"))))</f>
        <v/>
      </c>
      <c r="K415" s="35" t="str">
        <f aca="true">IF(OR(A415="",D415="Выполнено"),"",IF(F415="",IF(AND(G415&lt;&gt;"",G415&lt;&gt;"Разово"),"↻ "&amp;G415,""),IF(F415&lt;TODAY(),"Просрочено на "&amp;(TODAY()-F415)&amp;" дн.",IF(F415=TODAY(),"Сегодня",IF(F415=TODAY()+1,"Завтра","Через "&amp;(F415-TODAY())&amp;" дн.")))))</f>
        <v/>
      </c>
      <c r="L415" s="0" t="str">
        <f aca="true">IF(J415="","",(IF(AND(F415&lt;&gt;"",F415&lt;TODAY()),0,1)*10000000+IFERROR(MATCH(C415,{"Срочно","Высокий","Средний","Низкий"},0),5)*100000+IF(F415="",99999,F415))*1000+ROW())</f>
        <v/>
      </c>
      <c r="M415" s="0" t="str">
        <f aca="false">IF(AND($J415="Срочные",OR(Главная!$F$6="Все",$B415=Главная!$F$6),OR(Главная!$F$7="Все",$C415=Главная!$F$7)),$L415,"")</f>
        <v/>
      </c>
      <c r="N415" s="0" t="str">
        <f aca="false">IF(AND($J415="Текущие",OR(Главная!$F$6="Все",$B415=Главная!$F$6),OR(Главная!$F$7="Все",$C415=Главная!$F$7)),$L415,"")</f>
        <v/>
      </c>
      <c r="O415" s="0" t="str">
        <f aca="false">IF(AND($J415="Плановые",OR(Главная!$F$6="Все",$B415=Главная!$F$6),OR(Главная!$F$7="Все",$C415=Главная!$F$7)),$L415,"")</f>
        <v/>
      </c>
      <c r="P415" s="0" t="str">
        <f aca="false">IF(J415="Выполнено",ROW(),"")</f>
        <v/>
      </c>
    </row>
    <row r="416" customFormat="false" ht="21.75" hidden="false" customHeight="true" outlineLevel="0" collapsed="false">
      <c r="A416" s="31"/>
      <c r="B416" s="31"/>
      <c r="C416" s="32"/>
      <c r="D416" s="32"/>
      <c r="E416" s="33"/>
      <c r="F416" s="33"/>
      <c r="G416" s="32"/>
      <c r="H416" s="32"/>
      <c r="I416" s="31"/>
      <c r="J416" s="34" t="str">
        <f aca="true">IF(TRIM(A416)="","",IF(D416="Выполнено","Выполнено",IF(OR(C416="Срочно",AND(F416&lt;&gt;"",F416&lt;=TODAY())),"Срочные",IF(OR(D416="Отложено",C416="Низкий",AND(F416&lt;&gt;"",F416&gt;TODAY()+Справочники!$H$2)),"Плановые","Текущие"))))</f>
        <v/>
      </c>
      <c r="K416" s="35" t="str">
        <f aca="true">IF(OR(A416="",D416="Выполнено"),"",IF(F416="",IF(AND(G416&lt;&gt;"",G416&lt;&gt;"Разово"),"↻ "&amp;G416,""),IF(F416&lt;TODAY(),"Просрочено на "&amp;(TODAY()-F416)&amp;" дн.",IF(F416=TODAY(),"Сегодня",IF(F416=TODAY()+1,"Завтра","Через "&amp;(F416-TODAY())&amp;" дн.")))))</f>
        <v/>
      </c>
      <c r="L416" s="0" t="str">
        <f aca="true">IF(J416="","",(IF(AND(F416&lt;&gt;"",F416&lt;TODAY()),0,1)*10000000+IFERROR(MATCH(C416,{"Срочно","Высокий","Средний","Низкий"},0),5)*100000+IF(F416="",99999,F416))*1000+ROW())</f>
        <v/>
      </c>
      <c r="M416" s="0" t="str">
        <f aca="false">IF(AND($J416="Срочные",OR(Главная!$F$6="Все",$B416=Главная!$F$6),OR(Главная!$F$7="Все",$C416=Главная!$F$7)),$L416,"")</f>
        <v/>
      </c>
      <c r="N416" s="0" t="str">
        <f aca="false">IF(AND($J416="Текущие",OR(Главная!$F$6="Все",$B416=Главная!$F$6),OR(Главная!$F$7="Все",$C416=Главная!$F$7)),$L416,"")</f>
        <v/>
      </c>
      <c r="O416" s="0" t="str">
        <f aca="false">IF(AND($J416="Плановые",OR(Главная!$F$6="Все",$B416=Главная!$F$6),OR(Главная!$F$7="Все",$C416=Главная!$F$7)),$L416,"")</f>
        <v/>
      </c>
      <c r="P416" s="0" t="str">
        <f aca="false">IF(J416="Выполнено",ROW(),"")</f>
        <v/>
      </c>
    </row>
    <row r="417" customFormat="false" ht="21.75" hidden="false" customHeight="true" outlineLevel="0" collapsed="false">
      <c r="A417" s="31"/>
      <c r="B417" s="31"/>
      <c r="C417" s="32"/>
      <c r="D417" s="32"/>
      <c r="E417" s="33"/>
      <c r="F417" s="33"/>
      <c r="G417" s="32"/>
      <c r="H417" s="32"/>
      <c r="I417" s="31"/>
      <c r="J417" s="34" t="str">
        <f aca="true">IF(TRIM(A417)="","",IF(D417="Выполнено","Выполнено",IF(OR(C417="Срочно",AND(F417&lt;&gt;"",F417&lt;=TODAY())),"Срочные",IF(OR(D417="Отложено",C417="Низкий",AND(F417&lt;&gt;"",F417&gt;TODAY()+Справочники!$H$2)),"Плановые","Текущие"))))</f>
        <v/>
      </c>
      <c r="K417" s="35" t="str">
        <f aca="true">IF(OR(A417="",D417="Выполнено"),"",IF(F417="",IF(AND(G417&lt;&gt;"",G417&lt;&gt;"Разово"),"↻ "&amp;G417,""),IF(F417&lt;TODAY(),"Просрочено на "&amp;(TODAY()-F417)&amp;" дн.",IF(F417=TODAY(),"Сегодня",IF(F417=TODAY()+1,"Завтра","Через "&amp;(F417-TODAY())&amp;" дн.")))))</f>
        <v/>
      </c>
      <c r="L417" s="0" t="str">
        <f aca="true">IF(J417="","",(IF(AND(F417&lt;&gt;"",F417&lt;TODAY()),0,1)*10000000+IFERROR(MATCH(C417,{"Срочно","Высокий","Средний","Низкий"},0),5)*100000+IF(F417="",99999,F417))*1000+ROW())</f>
        <v/>
      </c>
      <c r="M417" s="0" t="str">
        <f aca="false">IF(AND($J417="Срочные",OR(Главная!$F$6="Все",$B417=Главная!$F$6),OR(Главная!$F$7="Все",$C417=Главная!$F$7)),$L417,"")</f>
        <v/>
      </c>
      <c r="N417" s="0" t="str">
        <f aca="false">IF(AND($J417="Текущие",OR(Главная!$F$6="Все",$B417=Главная!$F$6),OR(Главная!$F$7="Все",$C417=Главная!$F$7)),$L417,"")</f>
        <v/>
      </c>
      <c r="O417" s="0" t="str">
        <f aca="false">IF(AND($J417="Плановые",OR(Главная!$F$6="Все",$B417=Главная!$F$6),OR(Главная!$F$7="Все",$C417=Главная!$F$7)),$L417,"")</f>
        <v/>
      </c>
      <c r="P417" s="0" t="str">
        <f aca="false">IF(J417="Выполнено",ROW(),"")</f>
        <v/>
      </c>
    </row>
    <row r="418" customFormat="false" ht="21.75" hidden="false" customHeight="true" outlineLevel="0" collapsed="false">
      <c r="A418" s="31"/>
      <c r="B418" s="31"/>
      <c r="C418" s="32"/>
      <c r="D418" s="32"/>
      <c r="E418" s="33"/>
      <c r="F418" s="33"/>
      <c r="G418" s="32"/>
      <c r="H418" s="32"/>
      <c r="I418" s="31"/>
      <c r="J418" s="34" t="str">
        <f aca="true">IF(TRIM(A418)="","",IF(D418="Выполнено","Выполнено",IF(OR(C418="Срочно",AND(F418&lt;&gt;"",F418&lt;=TODAY())),"Срочные",IF(OR(D418="Отложено",C418="Низкий",AND(F418&lt;&gt;"",F418&gt;TODAY()+Справочники!$H$2)),"Плановые","Текущие"))))</f>
        <v/>
      </c>
      <c r="K418" s="35" t="str">
        <f aca="true">IF(OR(A418="",D418="Выполнено"),"",IF(F418="",IF(AND(G418&lt;&gt;"",G418&lt;&gt;"Разово"),"↻ "&amp;G418,""),IF(F418&lt;TODAY(),"Просрочено на "&amp;(TODAY()-F418)&amp;" дн.",IF(F418=TODAY(),"Сегодня",IF(F418=TODAY()+1,"Завтра","Через "&amp;(F418-TODAY())&amp;" дн.")))))</f>
        <v/>
      </c>
      <c r="L418" s="0" t="str">
        <f aca="true">IF(J418="","",(IF(AND(F418&lt;&gt;"",F418&lt;TODAY()),0,1)*10000000+IFERROR(MATCH(C418,{"Срочно","Высокий","Средний","Низкий"},0),5)*100000+IF(F418="",99999,F418))*1000+ROW())</f>
        <v/>
      </c>
      <c r="M418" s="0" t="str">
        <f aca="false">IF(AND($J418="Срочные",OR(Главная!$F$6="Все",$B418=Главная!$F$6),OR(Главная!$F$7="Все",$C418=Главная!$F$7)),$L418,"")</f>
        <v/>
      </c>
      <c r="N418" s="0" t="str">
        <f aca="false">IF(AND($J418="Текущие",OR(Главная!$F$6="Все",$B418=Главная!$F$6),OR(Главная!$F$7="Все",$C418=Главная!$F$7)),$L418,"")</f>
        <v/>
      </c>
      <c r="O418" s="0" t="str">
        <f aca="false">IF(AND($J418="Плановые",OR(Главная!$F$6="Все",$B418=Главная!$F$6),OR(Главная!$F$7="Все",$C418=Главная!$F$7)),$L418,"")</f>
        <v/>
      </c>
      <c r="P418" s="0" t="str">
        <f aca="false">IF(J418="Выполнено",ROW(),"")</f>
        <v/>
      </c>
    </row>
    <row r="419" customFormat="false" ht="21.75" hidden="false" customHeight="true" outlineLevel="0" collapsed="false">
      <c r="A419" s="31"/>
      <c r="B419" s="31"/>
      <c r="C419" s="32"/>
      <c r="D419" s="32"/>
      <c r="E419" s="33"/>
      <c r="F419" s="33"/>
      <c r="G419" s="32"/>
      <c r="H419" s="32"/>
      <c r="I419" s="31"/>
      <c r="J419" s="34" t="str">
        <f aca="true">IF(TRIM(A419)="","",IF(D419="Выполнено","Выполнено",IF(OR(C419="Срочно",AND(F419&lt;&gt;"",F419&lt;=TODAY())),"Срочные",IF(OR(D419="Отложено",C419="Низкий",AND(F419&lt;&gt;"",F419&gt;TODAY()+Справочники!$H$2)),"Плановые","Текущие"))))</f>
        <v/>
      </c>
      <c r="K419" s="35" t="str">
        <f aca="true">IF(OR(A419="",D419="Выполнено"),"",IF(F419="",IF(AND(G419&lt;&gt;"",G419&lt;&gt;"Разово"),"↻ "&amp;G419,""),IF(F419&lt;TODAY(),"Просрочено на "&amp;(TODAY()-F419)&amp;" дн.",IF(F419=TODAY(),"Сегодня",IF(F419=TODAY()+1,"Завтра","Через "&amp;(F419-TODAY())&amp;" дн.")))))</f>
        <v/>
      </c>
      <c r="L419" s="0" t="str">
        <f aca="true">IF(J419="","",(IF(AND(F419&lt;&gt;"",F419&lt;TODAY()),0,1)*10000000+IFERROR(MATCH(C419,{"Срочно","Высокий","Средний","Низкий"},0),5)*100000+IF(F419="",99999,F419))*1000+ROW())</f>
        <v/>
      </c>
      <c r="M419" s="0" t="str">
        <f aca="false">IF(AND($J419="Срочные",OR(Главная!$F$6="Все",$B419=Главная!$F$6),OR(Главная!$F$7="Все",$C419=Главная!$F$7)),$L419,"")</f>
        <v/>
      </c>
      <c r="N419" s="0" t="str">
        <f aca="false">IF(AND($J419="Текущие",OR(Главная!$F$6="Все",$B419=Главная!$F$6),OR(Главная!$F$7="Все",$C419=Главная!$F$7)),$L419,"")</f>
        <v/>
      </c>
      <c r="O419" s="0" t="str">
        <f aca="false">IF(AND($J419="Плановые",OR(Главная!$F$6="Все",$B419=Главная!$F$6),OR(Главная!$F$7="Все",$C419=Главная!$F$7)),$L419,"")</f>
        <v/>
      </c>
      <c r="P419" s="0" t="str">
        <f aca="false">IF(J419="Выполнено",ROW(),"")</f>
        <v/>
      </c>
    </row>
    <row r="420" customFormat="false" ht="21.75" hidden="false" customHeight="true" outlineLevel="0" collapsed="false">
      <c r="A420" s="31"/>
      <c r="B420" s="31"/>
      <c r="C420" s="32"/>
      <c r="D420" s="32"/>
      <c r="E420" s="33"/>
      <c r="F420" s="33"/>
      <c r="G420" s="32"/>
      <c r="H420" s="32"/>
      <c r="I420" s="31"/>
      <c r="J420" s="34" t="str">
        <f aca="true">IF(TRIM(A420)="","",IF(D420="Выполнено","Выполнено",IF(OR(C420="Срочно",AND(F420&lt;&gt;"",F420&lt;=TODAY())),"Срочные",IF(OR(D420="Отложено",C420="Низкий",AND(F420&lt;&gt;"",F420&gt;TODAY()+Справочники!$H$2)),"Плановые","Текущие"))))</f>
        <v/>
      </c>
      <c r="K420" s="35" t="str">
        <f aca="true">IF(OR(A420="",D420="Выполнено"),"",IF(F420="",IF(AND(G420&lt;&gt;"",G420&lt;&gt;"Разово"),"↻ "&amp;G420,""),IF(F420&lt;TODAY(),"Просрочено на "&amp;(TODAY()-F420)&amp;" дн.",IF(F420=TODAY(),"Сегодня",IF(F420=TODAY()+1,"Завтра","Через "&amp;(F420-TODAY())&amp;" дн.")))))</f>
        <v/>
      </c>
      <c r="L420" s="0" t="str">
        <f aca="true">IF(J420="","",(IF(AND(F420&lt;&gt;"",F420&lt;TODAY()),0,1)*10000000+IFERROR(MATCH(C420,{"Срочно","Высокий","Средний","Низкий"},0),5)*100000+IF(F420="",99999,F420))*1000+ROW())</f>
        <v/>
      </c>
      <c r="M420" s="0" t="str">
        <f aca="false">IF(AND($J420="Срочные",OR(Главная!$F$6="Все",$B420=Главная!$F$6),OR(Главная!$F$7="Все",$C420=Главная!$F$7)),$L420,"")</f>
        <v/>
      </c>
      <c r="N420" s="0" t="str">
        <f aca="false">IF(AND($J420="Текущие",OR(Главная!$F$6="Все",$B420=Главная!$F$6),OR(Главная!$F$7="Все",$C420=Главная!$F$7)),$L420,"")</f>
        <v/>
      </c>
      <c r="O420" s="0" t="str">
        <f aca="false">IF(AND($J420="Плановые",OR(Главная!$F$6="Все",$B420=Главная!$F$6),OR(Главная!$F$7="Все",$C420=Главная!$F$7)),$L420,"")</f>
        <v/>
      </c>
      <c r="P420" s="0" t="str">
        <f aca="false">IF(J420="Выполнено",ROW(),"")</f>
        <v/>
      </c>
    </row>
    <row r="421" customFormat="false" ht="21.75" hidden="false" customHeight="true" outlineLevel="0" collapsed="false">
      <c r="A421" s="31"/>
      <c r="B421" s="31"/>
      <c r="C421" s="32"/>
      <c r="D421" s="32"/>
      <c r="E421" s="33"/>
      <c r="F421" s="33"/>
      <c r="G421" s="32"/>
      <c r="H421" s="32"/>
      <c r="I421" s="31"/>
      <c r="J421" s="34" t="str">
        <f aca="true">IF(TRIM(A421)="","",IF(D421="Выполнено","Выполнено",IF(OR(C421="Срочно",AND(F421&lt;&gt;"",F421&lt;=TODAY())),"Срочные",IF(OR(D421="Отложено",C421="Низкий",AND(F421&lt;&gt;"",F421&gt;TODAY()+Справочники!$H$2)),"Плановые","Текущие"))))</f>
        <v/>
      </c>
      <c r="K421" s="35" t="str">
        <f aca="true">IF(OR(A421="",D421="Выполнено"),"",IF(F421="",IF(AND(G421&lt;&gt;"",G421&lt;&gt;"Разово"),"↻ "&amp;G421,""),IF(F421&lt;TODAY(),"Просрочено на "&amp;(TODAY()-F421)&amp;" дн.",IF(F421=TODAY(),"Сегодня",IF(F421=TODAY()+1,"Завтра","Через "&amp;(F421-TODAY())&amp;" дн.")))))</f>
        <v/>
      </c>
      <c r="L421" s="0" t="str">
        <f aca="true">IF(J421="","",(IF(AND(F421&lt;&gt;"",F421&lt;TODAY()),0,1)*10000000+IFERROR(MATCH(C421,{"Срочно","Высокий","Средний","Низкий"},0),5)*100000+IF(F421="",99999,F421))*1000+ROW())</f>
        <v/>
      </c>
      <c r="M421" s="0" t="str">
        <f aca="false">IF(AND($J421="Срочные",OR(Главная!$F$6="Все",$B421=Главная!$F$6),OR(Главная!$F$7="Все",$C421=Главная!$F$7)),$L421,"")</f>
        <v/>
      </c>
      <c r="N421" s="0" t="str">
        <f aca="false">IF(AND($J421="Текущие",OR(Главная!$F$6="Все",$B421=Главная!$F$6),OR(Главная!$F$7="Все",$C421=Главная!$F$7)),$L421,"")</f>
        <v/>
      </c>
      <c r="O421" s="0" t="str">
        <f aca="false">IF(AND($J421="Плановые",OR(Главная!$F$6="Все",$B421=Главная!$F$6),OR(Главная!$F$7="Все",$C421=Главная!$F$7)),$L421,"")</f>
        <v/>
      </c>
      <c r="P421" s="0" t="str">
        <f aca="false">IF(J421="Выполнено",ROW(),"")</f>
        <v/>
      </c>
    </row>
    <row r="422" customFormat="false" ht="21.75" hidden="false" customHeight="true" outlineLevel="0" collapsed="false">
      <c r="A422" s="31"/>
      <c r="B422" s="31"/>
      <c r="C422" s="32"/>
      <c r="D422" s="32"/>
      <c r="E422" s="33"/>
      <c r="F422" s="33"/>
      <c r="G422" s="32"/>
      <c r="H422" s="32"/>
      <c r="I422" s="31"/>
      <c r="J422" s="34" t="str">
        <f aca="true">IF(TRIM(A422)="","",IF(D422="Выполнено","Выполнено",IF(OR(C422="Срочно",AND(F422&lt;&gt;"",F422&lt;=TODAY())),"Срочные",IF(OR(D422="Отложено",C422="Низкий",AND(F422&lt;&gt;"",F422&gt;TODAY()+Справочники!$H$2)),"Плановые","Текущие"))))</f>
        <v/>
      </c>
      <c r="K422" s="35" t="str">
        <f aca="true">IF(OR(A422="",D422="Выполнено"),"",IF(F422="",IF(AND(G422&lt;&gt;"",G422&lt;&gt;"Разово"),"↻ "&amp;G422,""),IF(F422&lt;TODAY(),"Просрочено на "&amp;(TODAY()-F422)&amp;" дн.",IF(F422=TODAY(),"Сегодня",IF(F422=TODAY()+1,"Завтра","Через "&amp;(F422-TODAY())&amp;" дн.")))))</f>
        <v/>
      </c>
      <c r="L422" s="0" t="str">
        <f aca="true">IF(J422="","",(IF(AND(F422&lt;&gt;"",F422&lt;TODAY()),0,1)*10000000+IFERROR(MATCH(C422,{"Срочно","Высокий","Средний","Низкий"},0),5)*100000+IF(F422="",99999,F422))*1000+ROW())</f>
        <v/>
      </c>
      <c r="M422" s="0" t="str">
        <f aca="false">IF(AND($J422="Срочные",OR(Главная!$F$6="Все",$B422=Главная!$F$6),OR(Главная!$F$7="Все",$C422=Главная!$F$7)),$L422,"")</f>
        <v/>
      </c>
      <c r="N422" s="0" t="str">
        <f aca="false">IF(AND($J422="Текущие",OR(Главная!$F$6="Все",$B422=Главная!$F$6),OR(Главная!$F$7="Все",$C422=Главная!$F$7)),$L422,"")</f>
        <v/>
      </c>
      <c r="O422" s="0" t="str">
        <f aca="false">IF(AND($J422="Плановые",OR(Главная!$F$6="Все",$B422=Главная!$F$6),OR(Главная!$F$7="Все",$C422=Главная!$F$7)),$L422,"")</f>
        <v/>
      </c>
      <c r="P422" s="0" t="str">
        <f aca="false">IF(J422="Выполнено",ROW(),"")</f>
        <v/>
      </c>
    </row>
    <row r="423" customFormat="false" ht="21.75" hidden="false" customHeight="true" outlineLevel="0" collapsed="false">
      <c r="A423" s="31"/>
      <c r="B423" s="31"/>
      <c r="C423" s="32"/>
      <c r="D423" s="32"/>
      <c r="E423" s="33"/>
      <c r="F423" s="33"/>
      <c r="G423" s="32"/>
      <c r="H423" s="32"/>
      <c r="I423" s="31"/>
      <c r="J423" s="34" t="str">
        <f aca="true">IF(TRIM(A423)="","",IF(D423="Выполнено","Выполнено",IF(OR(C423="Срочно",AND(F423&lt;&gt;"",F423&lt;=TODAY())),"Срочные",IF(OR(D423="Отложено",C423="Низкий",AND(F423&lt;&gt;"",F423&gt;TODAY()+Справочники!$H$2)),"Плановые","Текущие"))))</f>
        <v/>
      </c>
      <c r="K423" s="35" t="str">
        <f aca="true">IF(OR(A423="",D423="Выполнено"),"",IF(F423="",IF(AND(G423&lt;&gt;"",G423&lt;&gt;"Разово"),"↻ "&amp;G423,""),IF(F423&lt;TODAY(),"Просрочено на "&amp;(TODAY()-F423)&amp;" дн.",IF(F423=TODAY(),"Сегодня",IF(F423=TODAY()+1,"Завтра","Через "&amp;(F423-TODAY())&amp;" дн.")))))</f>
        <v/>
      </c>
      <c r="L423" s="0" t="str">
        <f aca="true">IF(J423="","",(IF(AND(F423&lt;&gt;"",F423&lt;TODAY()),0,1)*10000000+IFERROR(MATCH(C423,{"Срочно","Высокий","Средний","Низкий"},0),5)*100000+IF(F423="",99999,F423))*1000+ROW())</f>
        <v/>
      </c>
      <c r="M423" s="0" t="str">
        <f aca="false">IF(AND($J423="Срочные",OR(Главная!$F$6="Все",$B423=Главная!$F$6),OR(Главная!$F$7="Все",$C423=Главная!$F$7)),$L423,"")</f>
        <v/>
      </c>
      <c r="N423" s="0" t="str">
        <f aca="false">IF(AND($J423="Текущие",OR(Главная!$F$6="Все",$B423=Главная!$F$6),OR(Главная!$F$7="Все",$C423=Главная!$F$7)),$L423,"")</f>
        <v/>
      </c>
      <c r="O423" s="0" t="str">
        <f aca="false">IF(AND($J423="Плановые",OR(Главная!$F$6="Все",$B423=Главная!$F$6),OR(Главная!$F$7="Все",$C423=Главная!$F$7)),$L423,"")</f>
        <v/>
      </c>
      <c r="P423" s="0" t="str">
        <f aca="false">IF(J423="Выполнено",ROW(),"")</f>
        <v/>
      </c>
    </row>
    <row r="424" customFormat="false" ht="21.75" hidden="false" customHeight="true" outlineLevel="0" collapsed="false">
      <c r="A424" s="31"/>
      <c r="B424" s="31"/>
      <c r="C424" s="32"/>
      <c r="D424" s="32"/>
      <c r="E424" s="33"/>
      <c r="F424" s="33"/>
      <c r="G424" s="32"/>
      <c r="H424" s="32"/>
      <c r="I424" s="31"/>
      <c r="J424" s="34" t="str">
        <f aca="true">IF(TRIM(A424)="","",IF(D424="Выполнено","Выполнено",IF(OR(C424="Срочно",AND(F424&lt;&gt;"",F424&lt;=TODAY())),"Срочные",IF(OR(D424="Отложено",C424="Низкий",AND(F424&lt;&gt;"",F424&gt;TODAY()+Справочники!$H$2)),"Плановые","Текущие"))))</f>
        <v/>
      </c>
      <c r="K424" s="35" t="str">
        <f aca="true">IF(OR(A424="",D424="Выполнено"),"",IF(F424="",IF(AND(G424&lt;&gt;"",G424&lt;&gt;"Разово"),"↻ "&amp;G424,""),IF(F424&lt;TODAY(),"Просрочено на "&amp;(TODAY()-F424)&amp;" дн.",IF(F424=TODAY(),"Сегодня",IF(F424=TODAY()+1,"Завтра","Через "&amp;(F424-TODAY())&amp;" дн.")))))</f>
        <v/>
      </c>
      <c r="L424" s="0" t="str">
        <f aca="true">IF(J424="","",(IF(AND(F424&lt;&gt;"",F424&lt;TODAY()),0,1)*10000000+IFERROR(MATCH(C424,{"Срочно","Высокий","Средний","Низкий"},0),5)*100000+IF(F424="",99999,F424))*1000+ROW())</f>
        <v/>
      </c>
      <c r="M424" s="0" t="str">
        <f aca="false">IF(AND($J424="Срочные",OR(Главная!$F$6="Все",$B424=Главная!$F$6),OR(Главная!$F$7="Все",$C424=Главная!$F$7)),$L424,"")</f>
        <v/>
      </c>
      <c r="N424" s="0" t="str">
        <f aca="false">IF(AND($J424="Текущие",OR(Главная!$F$6="Все",$B424=Главная!$F$6),OR(Главная!$F$7="Все",$C424=Главная!$F$7)),$L424,"")</f>
        <v/>
      </c>
      <c r="O424" s="0" t="str">
        <f aca="false">IF(AND($J424="Плановые",OR(Главная!$F$6="Все",$B424=Главная!$F$6),OR(Главная!$F$7="Все",$C424=Главная!$F$7)),$L424,"")</f>
        <v/>
      </c>
      <c r="P424" s="0" t="str">
        <f aca="false">IF(J424="Выполнено",ROW(),"")</f>
        <v/>
      </c>
    </row>
    <row r="425" customFormat="false" ht="21.75" hidden="false" customHeight="true" outlineLevel="0" collapsed="false">
      <c r="A425" s="31"/>
      <c r="B425" s="31"/>
      <c r="C425" s="32"/>
      <c r="D425" s="32"/>
      <c r="E425" s="33"/>
      <c r="F425" s="33"/>
      <c r="G425" s="32"/>
      <c r="H425" s="32"/>
      <c r="I425" s="31"/>
      <c r="J425" s="34" t="str">
        <f aca="true">IF(TRIM(A425)="","",IF(D425="Выполнено","Выполнено",IF(OR(C425="Срочно",AND(F425&lt;&gt;"",F425&lt;=TODAY())),"Срочные",IF(OR(D425="Отложено",C425="Низкий",AND(F425&lt;&gt;"",F425&gt;TODAY()+Справочники!$H$2)),"Плановые","Текущие"))))</f>
        <v/>
      </c>
      <c r="K425" s="35" t="str">
        <f aca="true">IF(OR(A425="",D425="Выполнено"),"",IF(F425="",IF(AND(G425&lt;&gt;"",G425&lt;&gt;"Разово"),"↻ "&amp;G425,""),IF(F425&lt;TODAY(),"Просрочено на "&amp;(TODAY()-F425)&amp;" дн.",IF(F425=TODAY(),"Сегодня",IF(F425=TODAY()+1,"Завтра","Через "&amp;(F425-TODAY())&amp;" дн.")))))</f>
        <v/>
      </c>
      <c r="L425" s="0" t="str">
        <f aca="true">IF(J425="","",(IF(AND(F425&lt;&gt;"",F425&lt;TODAY()),0,1)*10000000+IFERROR(MATCH(C425,{"Срочно","Высокий","Средний","Низкий"},0),5)*100000+IF(F425="",99999,F425))*1000+ROW())</f>
        <v/>
      </c>
      <c r="M425" s="0" t="str">
        <f aca="false">IF(AND($J425="Срочные",OR(Главная!$F$6="Все",$B425=Главная!$F$6),OR(Главная!$F$7="Все",$C425=Главная!$F$7)),$L425,"")</f>
        <v/>
      </c>
      <c r="N425" s="0" t="str">
        <f aca="false">IF(AND($J425="Текущие",OR(Главная!$F$6="Все",$B425=Главная!$F$6),OR(Главная!$F$7="Все",$C425=Главная!$F$7)),$L425,"")</f>
        <v/>
      </c>
      <c r="O425" s="0" t="str">
        <f aca="false">IF(AND($J425="Плановые",OR(Главная!$F$6="Все",$B425=Главная!$F$6),OR(Главная!$F$7="Все",$C425=Главная!$F$7)),$L425,"")</f>
        <v/>
      </c>
      <c r="P425" s="0" t="str">
        <f aca="false">IF(J425="Выполнено",ROW(),"")</f>
        <v/>
      </c>
    </row>
    <row r="426" customFormat="false" ht="21.75" hidden="false" customHeight="true" outlineLevel="0" collapsed="false">
      <c r="A426" s="31"/>
      <c r="B426" s="31"/>
      <c r="C426" s="32"/>
      <c r="D426" s="32"/>
      <c r="E426" s="33"/>
      <c r="F426" s="33"/>
      <c r="G426" s="32"/>
      <c r="H426" s="32"/>
      <c r="I426" s="31"/>
      <c r="J426" s="34" t="str">
        <f aca="true">IF(TRIM(A426)="","",IF(D426="Выполнено","Выполнено",IF(OR(C426="Срочно",AND(F426&lt;&gt;"",F426&lt;=TODAY())),"Срочные",IF(OR(D426="Отложено",C426="Низкий",AND(F426&lt;&gt;"",F426&gt;TODAY()+Справочники!$H$2)),"Плановые","Текущие"))))</f>
        <v/>
      </c>
      <c r="K426" s="35" t="str">
        <f aca="true">IF(OR(A426="",D426="Выполнено"),"",IF(F426="",IF(AND(G426&lt;&gt;"",G426&lt;&gt;"Разово"),"↻ "&amp;G426,""),IF(F426&lt;TODAY(),"Просрочено на "&amp;(TODAY()-F426)&amp;" дн.",IF(F426=TODAY(),"Сегодня",IF(F426=TODAY()+1,"Завтра","Через "&amp;(F426-TODAY())&amp;" дн.")))))</f>
        <v/>
      </c>
      <c r="L426" s="0" t="str">
        <f aca="true">IF(J426="","",(IF(AND(F426&lt;&gt;"",F426&lt;TODAY()),0,1)*10000000+IFERROR(MATCH(C426,{"Срочно","Высокий","Средний","Низкий"},0),5)*100000+IF(F426="",99999,F426))*1000+ROW())</f>
        <v/>
      </c>
      <c r="M426" s="0" t="str">
        <f aca="false">IF(AND($J426="Срочные",OR(Главная!$F$6="Все",$B426=Главная!$F$6),OR(Главная!$F$7="Все",$C426=Главная!$F$7)),$L426,"")</f>
        <v/>
      </c>
      <c r="N426" s="0" t="str">
        <f aca="false">IF(AND($J426="Текущие",OR(Главная!$F$6="Все",$B426=Главная!$F$6),OR(Главная!$F$7="Все",$C426=Главная!$F$7)),$L426,"")</f>
        <v/>
      </c>
      <c r="O426" s="0" t="str">
        <f aca="false">IF(AND($J426="Плановые",OR(Главная!$F$6="Все",$B426=Главная!$F$6),OR(Главная!$F$7="Все",$C426=Главная!$F$7)),$L426,"")</f>
        <v/>
      </c>
      <c r="P426" s="0" t="str">
        <f aca="false">IF(J426="Выполнено",ROW(),"")</f>
        <v/>
      </c>
    </row>
    <row r="427" customFormat="false" ht="21.75" hidden="false" customHeight="true" outlineLevel="0" collapsed="false">
      <c r="A427" s="31"/>
      <c r="B427" s="31"/>
      <c r="C427" s="32"/>
      <c r="D427" s="32"/>
      <c r="E427" s="33"/>
      <c r="F427" s="33"/>
      <c r="G427" s="32"/>
      <c r="H427" s="32"/>
      <c r="I427" s="31"/>
      <c r="J427" s="34" t="str">
        <f aca="true">IF(TRIM(A427)="","",IF(D427="Выполнено","Выполнено",IF(OR(C427="Срочно",AND(F427&lt;&gt;"",F427&lt;=TODAY())),"Срочные",IF(OR(D427="Отложено",C427="Низкий",AND(F427&lt;&gt;"",F427&gt;TODAY()+Справочники!$H$2)),"Плановые","Текущие"))))</f>
        <v/>
      </c>
      <c r="K427" s="35" t="str">
        <f aca="true">IF(OR(A427="",D427="Выполнено"),"",IF(F427="",IF(AND(G427&lt;&gt;"",G427&lt;&gt;"Разово"),"↻ "&amp;G427,""),IF(F427&lt;TODAY(),"Просрочено на "&amp;(TODAY()-F427)&amp;" дн.",IF(F427=TODAY(),"Сегодня",IF(F427=TODAY()+1,"Завтра","Через "&amp;(F427-TODAY())&amp;" дн.")))))</f>
        <v/>
      </c>
      <c r="L427" s="0" t="str">
        <f aca="true">IF(J427="","",(IF(AND(F427&lt;&gt;"",F427&lt;TODAY()),0,1)*10000000+IFERROR(MATCH(C427,{"Срочно","Высокий","Средний","Низкий"},0),5)*100000+IF(F427="",99999,F427))*1000+ROW())</f>
        <v/>
      </c>
      <c r="M427" s="0" t="str">
        <f aca="false">IF(AND($J427="Срочные",OR(Главная!$F$6="Все",$B427=Главная!$F$6),OR(Главная!$F$7="Все",$C427=Главная!$F$7)),$L427,"")</f>
        <v/>
      </c>
      <c r="N427" s="0" t="str">
        <f aca="false">IF(AND($J427="Текущие",OR(Главная!$F$6="Все",$B427=Главная!$F$6),OR(Главная!$F$7="Все",$C427=Главная!$F$7)),$L427,"")</f>
        <v/>
      </c>
      <c r="O427" s="0" t="str">
        <f aca="false">IF(AND($J427="Плановые",OR(Главная!$F$6="Все",$B427=Главная!$F$6),OR(Главная!$F$7="Все",$C427=Главная!$F$7)),$L427,"")</f>
        <v/>
      </c>
      <c r="P427" s="0" t="str">
        <f aca="false">IF(J427="Выполнено",ROW(),"")</f>
        <v/>
      </c>
    </row>
    <row r="428" customFormat="false" ht="21.75" hidden="false" customHeight="true" outlineLevel="0" collapsed="false">
      <c r="A428" s="31"/>
      <c r="B428" s="31"/>
      <c r="C428" s="32"/>
      <c r="D428" s="32"/>
      <c r="E428" s="33"/>
      <c r="F428" s="33"/>
      <c r="G428" s="32"/>
      <c r="H428" s="32"/>
      <c r="I428" s="31"/>
      <c r="J428" s="34" t="str">
        <f aca="true">IF(TRIM(A428)="","",IF(D428="Выполнено","Выполнено",IF(OR(C428="Срочно",AND(F428&lt;&gt;"",F428&lt;=TODAY())),"Срочные",IF(OR(D428="Отложено",C428="Низкий",AND(F428&lt;&gt;"",F428&gt;TODAY()+Справочники!$H$2)),"Плановые","Текущие"))))</f>
        <v/>
      </c>
      <c r="K428" s="35" t="str">
        <f aca="true">IF(OR(A428="",D428="Выполнено"),"",IF(F428="",IF(AND(G428&lt;&gt;"",G428&lt;&gt;"Разово"),"↻ "&amp;G428,""),IF(F428&lt;TODAY(),"Просрочено на "&amp;(TODAY()-F428)&amp;" дн.",IF(F428=TODAY(),"Сегодня",IF(F428=TODAY()+1,"Завтра","Через "&amp;(F428-TODAY())&amp;" дн.")))))</f>
        <v/>
      </c>
      <c r="L428" s="0" t="str">
        <f aca="true">IF(J428="","",(IF(AND(F428&lt;&gt;"",F428&lt;TODAY()),0,1)*10000000+IFERROR(MATCH(C428,{"Срочно","Высокий","Средний","Низкий"},0),5)*100000+IF(F428="",99999,F428))*1000+ROW())</f>
        <v/>
      </c>
      <c r="M428" s="0" t="str">
        <f aca="false">IF(AND($J428="Срочные",OR(Главная!$F$6="Все",$B428=Главная!$F$6),OR(Главная!$F$7="Все",$C428=Главная!$F$7)),$L428,"")</f>
        <v/>
      </c>
      <c r="N428" s="0" t="str">
        <f aca="false">IF(AND($J428="Текущие",OR(Главная!$F$6="Все",$B428=Главная!$F$6),OR(Главная!$F$7="Все",$C428=Главная!$F$7)),$L428,"")</f>
        <v/>
      </c>
      <c r="O428" s="0" t="str">
        <f aca="false">IF(AND($J428="Плановые",OR(Главная!$F$6="Все",$B428=Главная!$F$6),OR(Главная!$F$7="Все",$C428=Главная!$F$7)),$L428,"")</f>
        <v/>
      </c>
      <c r="P428" s="0" t="str">
        <f aca="false">IF(J428="Выполнено",ROW(),"")</f>
        <v/>
      </c>
    </row>
    <row r="429" customFormat="false" ht="21.75" hidden="false" customHeight="true" outlineLevel="0" collapsed="false">
      <c r="A429" s="31"/>
      <c r="B429" s="31"/>
      <c r="C429" s="32"/>
      <c r="D429" s="32"/>
      <c r="E429" s="33"/>
      <c r="F429" s="33"/>
      <c r="G429" s="32"/>
      <c r="H429" s="32"/>
      <c r="I429" s="31"/>
      <c r="J429" s="34" t="str">
        <f aca="true">IF(TRIM(A429)="","",IF(D429="Выполнено","Выполнено",IF(OR(C429="Срочно",AND(F429&lt;&gt;"",F429&lt;=TODAY())),"Срочные",IF(OR(D429="Отложено",C429="Низкий",AND(F429&lt;&gt;"",F429&gt;TODAY()+Справочники!$H$2)),"Плановые","Текущие"))))</f>
        <v/>
      </c>
      <c r="K429" s="35" t="str">
        <f aca="true">IF(OR(A429="",D429="Выполнено"),"",IF(F429="",IF(AND(G429&lt;&gt;"",G429&lt;&gt;"Разово"),"↻ "&amp;G429,""),IF(F429&lt;TODAY(),"Просрочено на "&amp;(TODAY()-F429)&amp;" дн.",IF(F429=TODAY(),"Сегодня",IF(F429=TODAY()+1,"Завтра","Через "&amp;(F429-TODAY())&amp;" дн.")))))</f>
        <v/>
      </c>
      <c r="L429" s="0" t="str">
        <f aca="true">IF(J429="","",(IF(AND(F429&lt;&gt;"",F429&lt;TODAY()),0,1)*10000000+IFERROR(MATCH(C429,{"Срочно","Высокий","Средний","Низкий"},0),5)*100000+IF(F429="",99999,F429))*1000+ROW())</f>
        <v/>
      </c>
      <c r="M429" s="0" t="str">
        <f aca="false">IF(AND($J429="Срочные",OR(Главная!$F$6="Все",$B429=Главная!$F$6),OR(Главная!$F$7="Все",$C429=Главная!$F$7)),$L429,"")</f>
        <v/>
      </c>
      <c r="N429" s="0" t="str">
        <f aca="false">IF(AND($J429="Текущие",OR(Главная!$F$6="Все",$B429=Главная!$F$6),OR(Главная!$F$7="Все",$C429=Главная!$F$7)),$L429,"")</f>
        <v/>
      </c>
      <c r="O429" s="0" t="str">
        <f aca="false">IF(AND($J429="Плановые",OR(Главная!$F$6="Все",$B429=Главная!$F$6),OR(Главная!$F$7="Все",$C429=Главная!$F$7)),$L429,"")</f>
        <v/>
      </c>
      <c r="P429" s="0" t="str">
        <f aca="false">IF(J429="Выполнено",ROW(),"")</f>
        <v/>
      </c>
    </row>
    <row r="430" customFormat="false" ht="21.75" hidden="false" customHeight="true" outlineLevel="0" collapsed="false">
      <c r="A430" s="31"/>
      <c r="B430" s="31"/>
      <c r="C430" s="32"/>
      <c r="D430" s="32"/>
      <c r="E430" s="33"/>
      <c r="F430" s="33"/>
      <c r="G430" s="32"/>
      <c r="H430" s="32"/>
      <c r="I430" s="31"/>
      <c r="J430" s="34" t="str">
        <f aca="true">IF(TRIM(A430)="","",IF(D430="Выполнено","Выполнено",IF(OR(C430="Срочно",AND(F430&lt;&gt;"",F430&lt;=TODAY())),"Срочные",IF(OR(D430="Отложено",C430="Низкий",AND(F430&lt;&gt;"",F430&gt;TODAY()+Справочники!$H$2)),"Плановые","Текущие"))))</f>
        <v/>
      </c>
      <c r="K430" s="35" t="str">
        <f aca="true">IF(OR(A430="",D430="Выполнено"),"",IF(F430="",IF(AND(G430&lt;&gt;"",G430&lt;&gt;"Разово"),"↻ "&amp;G430,""),IF(F430&lt;TODAY(),"Просрочено на "&amp;(TODAY()-F430)&amp;" дн.",IF(F430=TODAY(),"Сегодня",IF(F430=TODAY()+1,"Завтра","Через "&amp;(F430-TODAY())&amp;" дн.")))))</f>
        <v/>
      </c>
      <c r="L430" s="0" t="str">
        <f aca="true">IF(J430="","",(IF(AND(F430&lt;&gt;"",F430&lt;TODAY()),0,1)*10000000+IFERROR(MATCH(C430,{"Срочно","Высокий","Средний","Низкий"},0),5)*100000+IF(F430="",99999,F430))*1000+ROW())</f>
        <v/>
      </c>
      <c r="M430" s="0" t="str">
        <f aca="false">IF(AND($J430="Срочные",OR(Главная!$F$6="Все",$B430=Главная!$F$6),OR(Главная!$F$7="Все",$C430=Главная!$F$7)),$L430,"")</f>
        <v/>
      </c>
      <c r="N430" s="0" t="str">
        <f aca="false">IF(AND($J430="Текущие",OR(Главная!$F$6="Все",$B430=Главная!$F$6),OR(Главная!$F$7="Все",$C430=Главная!$F$7)),$L430,"")</f>
        <v/>
      </c>
      <c r="O430" s="0" t="str">
        <f aca="false">IF(AND($J430="Плановые",OR(Главная!$F$6="Все",$B430=Главная!$F$6),OR(Главная!$F$7="Все",$C430=Главная!$F$7)),$L430,"")</f>
        <v/>
      </c>
      <c r="P430" s="0" t="str">
        <f aca="false">IF(J430="Выполнено",ROW(),"")</f>
        <v/>
      </c>
    </row>
    <row r="431" customFormat="false" ht="21.75" hidden="false" customHeight="true" outlineLevel="0" collapsed="false">
      <c r="A431" s="31"/>
      <c r="B431" s="31"/>
      <c r="C431" s="32"/>
      <c r="D431" s="32"/>
      <c r="E431" s="33"/>
      <c r="F431" s="33"/>
      <c r="G431" s="32"/>
      <c r="H431" s="32"/>
      <c r="I431" s="31"/>
      <c r="J431" s="34" t="str">
        <f aca="true">IF(TRIM(A431)="","",IF(D431="Выполнено","Выполнено",IF(OR(C431="Срочно",AND(F431&lt;&gt;"",F431&lt;=TODAY())),"Срочные",IF(OR(D431="Отложено",C431="Низкий",AND(F431&lt;&gt;"",F431&gt;TODAY()+Справочники!$H$2)),"Плановые","Текущие"))))</f>
        <v/>
      </c>
      <c r="K431" s="35" t="str">
        <f aca="true">IF(OR(A431="",D431="Выполнено"),"",IF(F431="",IF(AND(G431&lt;&gt;"",G431&lt;&gt;"Разово"),"↻ "&amp;G431,""),IF(F431&lt;TODAY(),"Просрочено на "&amp;(TODAY()-F431)&amp;" дн.",IF(F431=TODAY(),"Сегодня",IF(F431=TODAY()+1,"Завтра","Через "&amp;(F431-TODAY())&amp;" дн.")))))</f>
        <v/>
      </c>
      <c r="L431" s="0" t="str">
        <f aca="true">IF(J431="","",(IF(AND(F431&lt;&gt;"",F431&lt;TODAY()),0,1)*10000000+IFERROR(MATCH(C431,{"Срочно","Высокий","Средний","Низкий"},0),5)*100000+IF(F431="",99999,F431))*1000+ROW())</f>
        <v/>
      </c>
      <c r="M431" s="0" t="str">
        <f aca="false">IF(AND($J431="Срочные",OR(Главная!$F$6="Все",$B431=Главная!$F$6),OR(Главная!$F$7="Все",$C431=Главная!$F$7)),$L431,"")</f>
        <v/>
      </c>
      <c r="N431" s="0" t="str">
        <f aca="false">IF(AND($J431="Текущие",OR(Главная!$F$6="Все",$B431=Главная!$F$6),OR(Главная!$F$7="Все",$C431=Главная!$F$7)),$L431,"")</f>
        <v/>
      </c>
      <c r="O431" s="0" t="str">
        <f aca="false">IF(AND($J431="Плановые",OR(Главная!$F$6="Все",$B431=Главная!$F$6),OR(Главная!$F$7="Все",$C431=Главная!$F$7)),$L431,"")</f>
        <v/>
      </c>
      <c r="P431" s="0" t="str">
        <f aca="false">IF(J431="Выполнено",ROW(),"")</f>
        <v/>
      </c>
    </row>
    <row r="432" customFormat="false" ht="21.75" hidden="false" customHeight="true" outlineLevel="0" collapsed="false">
      <c r="A432" s="31"/>
      <c r="B432" s="31"/>
      <c r="C432" s="32"/>
      <c r="D432" s="32"/>
      <c r="E432" s="33"/>
      <c r="F432" s="33"/>
      <c r="G432" s="32"/>
      <c r="H432" s="32"/>
      <c r="I432" s="31"/>
      <c r="J432" s="34" t="str">
        <f aca="true">IF(TRIM(A432)="","",IF(D432="Выполнено","Выполнено",IF(OR(C432="Срочно",AND(F432&lt;&gt;"",F432&lt;=TODAY())),"Срочные",IF(OR(D432="Отложено",C432="Низкий",AND(F432&lt;&gt;"",F432&gt;TODAY()+Справочники!$H$2)),"Плановые","Текущие"))))</f>
        <v/>
      </c>
      <c r="K432" s="35" t="str">
        <f aca="true">IF(OR(A432="",D432="Выполнено"),"",IF(F432="",IF(AND(G432&lt;&gt;"",G432&lt;&gt;"Разово"),"↻ "&amp;G432,""),IF(F432&lt;TODAY(),"Просрочено на "&amp;(TODAY()-F432)&amp;" дн.",IF(F432=TODAY(),"Сегодня",IF(F432=TODAY()+1,"Завтра","Через "&amp;(F432-TODAY())&amp;" дн.")))))</f>
        <v/>
      </c>
      <c r="L432" s="0" t="str">
        <f aca="true">IF(J432="","",(IF(AND(F432&lt;&gt;"",F432&lt;TODAY()),0,1)*10000000+IFERROR(MATCH(C432,{"Срочно","Высокий","Средний","Низкий"},0),5)*100000+IF(F432="",99999,F432))*1000+ROW())</f>
        <v/>
      </c>
      <c r="M432" s="0" t="str">
        <f aca="false">IF(AND($J432="Срочные",OR(Главная!$F$6="Все",$B432=Главная!$F$6),OR(Главная!$F$7="Все",$C432=Главная!$F$7)),$L432,"")</f>
        <v/>
      </c>
      <c r="N432" s="0" t="str">
        <f aca="false">IF(AND($J432="Текущие",OR(Главная!$F$6="Все",$B432=Главная!$F$6),OR(Главная!$F$7="Все",$C432=Главная!$F$7)),$L432,"")</f>
        <v/>
      </c>
      <c r="O432" s="0" t="str">
        <f aca="false">IF(AND($J432="Плановые",OR(Главная!$F$6="Все",$B432=Главная!$F$6),OR(Главная!$F$7="Все",$C432=Главная!$F$7)),$L432,"")</f>
        <v/>
      </c>
      <c r="P432" s="0" t="str">
        <f aca="false">IF(J432="Выполнено",ROW(),"")</f>
        <v/>
      </c>
    </row>
    <row r="433" customFormat="false" ht="21.75" hidden="false" customHeight="true" outlineLevel="0" collapsed="false">
      <c r="A433" s="31"/>
      <c r="B433" s="31"/>
      <c r="C433" s="32"/>
      <c r="D433" s="32"/>
      <c r="E433" s="33"/>
      <c r="F433" s="33"/>
      <c r="G433" s="32"/>
      <c r="H433" s="32"/>
      <c r="I433" s="31"/>
      <c r="J433" s="34" t="str">
        <f aca="true">IF(TRIM(A433)="","",IF(D433="Выполнено","Выполнено",IF(OR(C433="Срочно",AND(F433&lt;&gt;"",F433&lt;=TODAY())),"Срочные",IF(OR(D433="Отложено",C433="Низкий",AND(F433&lt;&gt;"",F433&gt;TODAY()+Справочники!$H$2)),"Плановые","Текущие"))))</f>
        <v/>
      </c>
      <c r="K433" s="35" t="str">
        <f aca="true">IF(OR(A433="",D433="Выполнено"),"",IF(F433="",IF(AND(G433&lt;&gt;"",G433&lt;&gt;"Разово"),"↻ "&amp;G433,""),IF(F433&lt;TODAY(),"Просрочено на "&amp;(TODAY()-F433)&amp;" дн.",IF(F433=TODAY(),"Сегодня",IF(F433=TODAY()+1,"Завтра","Через "&amp;(F433-TODAY())&amp;" дн.")))))</f>
        <v/>
      </c>
      <c r="L433" s="0" t="str">
        <f aca="true">IF(J433="","",(IF(AND(F433&lt;&gt;"",F433&lt;TODAY()),0,1)*10000000+IFERROR(MATCH(C433,{"Срочно","Высокий","Средний","Низкий"},0),5)*100000+IF(F433="",99999,F433))*1000+ROW())</f>
        <v/>
      </c>
      <c r="M433" s="0" t="str">
        <f aca="false">IF(AND($J433="Срочные",OR(Главная!$F$6="Все",$B433=Главная!$F$6),OR(Главная!$F$7="Все",$C433=Главная!$F$7)),$L433,"")</f>
        <v/>
      </c>
      <c r="N433" s="0" t="str">
        <f aca="false">IF(AND($J433="Текущие",OR(Главная!$F$6="Все",$B433=Главная!$F$6),OR(Главная!$F$7="Все",$C433=Главная!$F$7)),$L433,"")</f>
        <v/>
      </c>
      <c r="O433" s="0" t="str">
        <f aca="false">IF(AND($J433="Плановые",OR(Главная!$F$6="Все",$B433=Главная!$F$6),OR(Главная!$F$7="Все",$C433=Главная!$F$7)),$L433,"")</f>
        <v/>
      </c>
      <c r="P433" s="0" t="str">
        <f aca="false">IF(J433="Выполнено",ROW(),"")</f>
        <v/>
      </c>
    </row>
    <row r="434" customFormat="false" ht="21.75" hidden="false" customHeight="true" outlineLevel="0" collapsed="false">
      <c r="A434" s="31"/>
      <c r="B434" s="31"/>
      <c r="C434" s="32"/>
      <c r="D434" s="32"/>
      <c r="E434" s="33"/>
      <c r="F434" s="33"/>
      <c r="G434" s="32"/>
      <c r="H434" s="32"/>
      <c r="I434" s="31"/>
      <c r="J434" s="34" t="str">
        <f aca="true">IF(TRIM(A434)="","",IF(D434="Выполнено","Выполнено",IF(OR(C434="Срочно",AND(F434&lt;&gt;"",F434&lt;=TODAY())),"Срочные",IF(OR(D434="Отложено",C434="Низкий",AND(F434&lt;&gt;"",F434&gt;TODAY()+Справочники!$H$2)),"Плановые","Текущие"))))</f>
        <v/>
      </c>
      <c r="K434" s="35" t="str">
        <f aca="true">IF(OR(A434="",D434="Выполнено"),"",IF(F434="",IF(AND(G434&lt;&gt;"",G434&lt;&gt;"Разово"),"↻ "&amp;G434,""),IF(F434&lt;TODAY(),"Просрочено на "&amp;(TODAY()-F434)&amp;" дн.",IF(F434=TODAY(),"Сегодня",IF(F434=TODAY()+1,"Завтра","Через "&amp;(F434-TODAY())&amp;" дн.")))))</f>
        <v/>
      </c>
      <c r="L434" s="0" t="str">
        <f aca="true">IF(J434="","",(IF(AND(F434&lt;&gt;"",F434&lt;TODAY()),0,1)*10000000+IFERROR(MATCH(C434,{"Срочно","Высокий","Средний","Низкий"},0),5)*100000+IF(F434="",99999,F434))*1000+ROW())</f>
        <v/>
      </c>
      <c r="M434" s="0" t="str">
        <f aca="false">IF(AND($J434="Срочные",OR(Главная!$F$6="Все",$B434=Главная!$F$6),OR(Главная!$F$7="Все",$C434=Главная!$F$7)),$L434,"")</f>
        <v/>
      </c>
      <c r="N434" s="0" t="str">
        <f aca="false">IF(AND($J434="Текущие",OR(Главная!$F$6="Все",$B434=Главная!$F$6),OR(Главная!$F$7="Все",$C434=Главная!$F$7)),$L434,"")</f>
        <v/>
      </c>
      <c r="O434" s="0" t="str">
        <f aca="false">IF(AND($J434="Плановые",OR(Главная!$F$6="Все",$B434=Главная!$F$6),OR(Главная!$F$7="Все",$C434=Главная!$F$7)),$L434,"")</f>
        <v/>
      </c>
      <c r="P434" s="0" t="str">
        <f aca="false">IF(J434="Выполнено",ROW(),"")</f>
        <v/>
      </c>
    </row>
    <row r="435" customFormat="false" ht="21.75" hidden="false" customHeight="true" outlineLevel="0" collapsed="false">
      <c r="A435" s="31"/>
      <c r="B435" s="31"/>
      <c r="C435" s="32"/>
      <c r="D435" s="32"/>
      <c r="E435" s="33"/>
      <c r="F435" s="33"/>
      <c r="G435" s="32"/>
      <c r="H435" s="32"/>
      <c r="I435" s="31"/>
      <c r="J435" s="34" t="str">
        <f aca="true">IF(TRIM(A435)="","",IF(D435="Выполнено","Выполнено",IF(OR(C435="Срочно",AND(F435&lt;&gt;"",F435&lt;=TODAY())),"Срочные",IF(OR(D435="Отложено",C435="Низкий",AND(F435&lt;&gt;"",F435&gt;TODAY()+Справочники!$H$2)),"Плановые","Текущие"))))</f>
        <v/>
      </c>
      <c r="K435" s="35" t="str">
        <f aca="true">IF(OR(A435="",D435="Выполнено"),"",IF(F435="",IF(AND(G435&lt;&gt;"",G435&lt;&gt;"Разово"),"↻ "&amp;G435,""),IF(F435&lt;TODAY(),"Просрочено на "&amp;(TODAY()-F435)&amp;" дн.",IF(F435=TODAY(),"Сегодня",IF(F435=TODAY()+1,"Завтра","Через "&amp;(F435-TODAY())&amp;" дн.")))))</f>
        <v/>
      </c>
      <c r="L435" s="0" t="str">
        <f aca="true">IF(J435="","",(IF(AND(F435&lt;&gt;"",F435&lt;TODAY()),0,1)*10000000+IFERROR(MATCH(C435,{"Срочно","Высокий","Средний","Низкий"},0),5)*100000+IF(F435="",99999,F435))*1000+ROW())</f>
        <v/>
      </c>
      <c r="M435" s="0" t="str">
        <f aca="false">IF(AND($J435="Срочные",OR(Главная!$F$6="Все",$B435=Главная!$F$6),OR(Главная!$F$7="Все",$C435=Главная!$F$7)),$L435,"")</f>
        <v/>
      </c>
      <c r="N435" s="0" t="str">
        <f aca="false">IF(AND($J435="Текущие",OR(Главная!$F$6="Все",$B435=Главная!$F$6),OR(Главная!$F$7="Все",$C435=Главная!$F$7)),$L435,"")</f>
        <v/>
      </c>
      <c r="O435" s="0" t="str">
        <f aca="false">IF(AND($J435="Плановые",OR(Главная!$F$6="Все",$B435=Главная!$F$6),OR(Главная!$F$7="Все",$C435=Главная!$F$7)),$L435,"")</f>
        <v/>
      </c>
      <c r="P435" s="0" t="str">
        <f aca="false">IF(J435="Выполнено",ROW(),"")</f>
        <v/>
      </c>
    </row>
    <row r="436" customFormat="false" ht="21.75" hidden="false" customHeight="true" outlineLevel="0" collapsed="false">
      <c r="A436" s="31"/>
      <c r="B436" s="31"/>
      <c r="C436" s="32"/>
      <c r="D436" s="32"/>
      <c r="E436" s="33"/>
      <c r="F436" s="33"/>
      <c r="G436" s="32"/>
      <c r="H436" s="32"/>
      <c r="I436" s="31"/>
      <c r="J436" s="34" t="str">
        <f aca="true">IF(TRIM(A436)="","",IF(D436="Выполнено","Выполнено",IF(OR(C436="Срочно",AND(F436&lt;&gt;"",F436&lt;=TODAY())),"Срочные",IF(OR(D436="Отложено",C436="Низкий",AND(F436&lt;&gt;"",F436&gt;TODAY()+Справочники!$H$2)),"Плановые","Текущие"))))</f>
        <v/>
      </c>
      <c r="K436" s="35" t="str">
        <f aca="true">IF(OR(A436="",D436="Выполнено"),"",IF(F436="",IF(AND(G436&lt;&gt;"",G436&lt;&gt;"Разово"),"↻ "&amp;G436,""),IF(F436&lt;TODAY(),"Просрочено на "&amp;(TODAY()-F436)&amp;" дн.",IF(F436=TODAY(),"Сегодня",IF(F436=TODAY()+1,"Завтра","Через "&amp;(F436-TODAY())&amp;" дн.")))))</f>
        <v/>
      </c>
      <c r="L436" s="0" t="str">
        <f aca="true">IF(J436="","",(IF(AND(F436&lt;&gt;"",F436&lt;TODAY()),0,1)*10000000+IFERROR(MATCH(C436,{"Срочно","Высокий","Средний","Низкий"},0),5)*100000+IF(F436="",99999,F436))*1000+ROW())</f>
        <v/>
      </c>
      <c r="M436" s="0" t="str">
        <f aca="false">IF(AND($J436="Срочные",OR(Главная!$F$6="Все",$B436=Главная!$F$6),OR(Главная!$F$7="Все",$C436=Главная!$F$7)),$L436,"")</f>
        <v/>
      </c>
      <c r="N436" s="0" t="str">
        <f aca="false">IF(AND($J436="Текущие",OR(Главная!$F$6="Все",$B436=Главная!$F$6),OR(Главная!$F$7="Все",$C436=Главная!$F$7)),$L436,"")</f>
        <v/>
      </c>
      <c r="O436" s="0" t="str">
        <f aca="false">IF(AND($J436="Плановые",OR(Главная!$F$6="Все",$B436=Главная!$F$6),OR(Главная!$F$7="Все",$C436=Главная!$F$7)),$L436,"")</f>
        <v/>
      </c>
      <c r="P436" s="0" t="str">
        <f aca="false">IF(J436="Выполнено",ROW(),"")</f>
        <v/>
      </c>
    </row>
    <row r="437" customFormat="false" ht="21.75" hidden="false" customHeight="true" outlineLevel="0" collapsed="false">
      <c r="A437" s="31"/>
      <c r="B437" s="31"/>
      <c r="C437" s="32"/>
      <c r="D437" s="32"/>
      <c r="E437" s="33"/>
      <c r="F437" s="33"/>
      <c r="G437" s="32"/>
      <c r="H437" s="32"/>
      <c r="I437" s="31"/>
      <c r="J437" s="34" t="str">
        <f aca="true">IF(TRIM(A437)="","",IF(D437="Выполнено","Выполнено",IF(OR(C437="Срочно",AND(F437&lt;&gt;"",F437&lt;=TODAY())),"Срочные",IF(OR(D437="Отложено",C437="Низкий",AND(F437&lt;&gt;"",F437&gt;TODAY()+Справочники!$H$2)),"Плановые","Текущие"))))</f>
        <v/>
      </c>
      <c r="K437" s="35" t="str">
        <f aca="true">IF(OR(A437="",D437="Выполнено"),"",IF(F437="",IF(AND(G437&lt;&gt;"",G437&lt;&gt;"Разово"),"↻ "&amp;G437,""),IF(F437&lt;TODAY(),"Просрочено на "&amp;(TODAY()-F437)&amp;" дн.",IF(F437=TODAY(),"Сегодня",IF(F437=TODAY()+1,"Завтра","Через "&amp;(F437-TODAY())&amp;" дн.")))))</f>
        <v/>
      </c>
      <c r="L437" s="0" t="str">
        <f aca="true">IF(J437="","",(IF(AND(F437&lt;&gt;"",F437&lt;TODAY()),0,1)*10000000+IFERROR(MATCH(C437,{"Срочно","Высокий","Средний","Низкий"},0),5)*100000+IF(F437="",99999,F437))*1000+ROW())</f>
        <v/>
      </c>
      <c r="M437" s="0" t="str">
        <f aca="false">IF(AND($J437="Срочные",OR(Главная!$F$6="Все",$B437=Главная!$F$6),OR(Главная!$F$7="Все",$C437=Главная!$F$7)),$L437,"")</f>
        <v/>
      </c>
      <c r="N437" s="0" t="str">
        <f aca="false">IF(AND($J437="Текущие",OR(Главная!$F$6="Все",$B437=Главная!$F$6),OR(Главная!$F$7="Все",$C437=Главная!$F$7)),$L437,"")</f>
        <v/>
      </c>
      <c r="O437" s="0" t="str">
        <f aca="false">IF(AND($J437="Плановые",OR(Главная!$F$6="Все",$B437=Главная!$F$6),OR(Главная!$F$7="Все",$C437=Главная!$F$7)),$L437,"")</f>
        <v/>
      </c>
      <c r="P437" s="0" t="str">
        <f aca="false">IF(J437="Выполнено",ROW(),"")</f>
        <v/>
      </c>
    </row>
    <row r="438" customFormat="false" ht="21.75" hidden="false" customHeight="true" outlineLevel="0" collapsed="false">
      <c r="A438" s="31"/>
      <c r="B438" s="31"/>
      <c r="C438" s="32"/>
      <c r="D438" s="32"/>
      <c r="E438" s="33"/>
      <c r="F438" s="33"/>
      <c r="G438" s="32"/>
      <c r="H438" s="32"/>
      <c r="I438" s="31"/>
      <c r="J438" s="34" t="str">
        <f aca="true">IF(TRIM(A438)="","",IF(D438="Выполнено","Выполнено",IF(OR(C438="Срочно",AND(F438&lt;&gt;"",F438&lt;=TODAY())),"Срочные",IF(OR(D438="Отложено",C438="Низкий",AND(F438&lt;&gt;"",F438&gt;TODAY()+Справочники!$H$2)),"Плановые","Текущие"))))</f>
        <v/>
      </c>
      <c r="K438" s="35" t="str">
        <f aca="true">IF(OR(A438="",D438="Выполнено"),"",IF(F438="",IF(AND(G438&lt;&gt;"",G438&lt;&gt;"Разово"),"↻ "&amp;G438,""),IF(F438&lt;TODAY(),"Просрочено на "&amp;(TODAY()-F438)&amp;" дн.",IF(F438=TODAY(),"Сегодня",IF(F438=TODAY()+1,"Завтра","Через "&amp;(F438-TODAY())&amp;" дн.")))))</f>
        <v/>
      </c>
      <c r="L438" s="0" t="str">
        <f aca="true">IF(J438="","",(IF(AND(F438&lt;&gt;"",F438&lt;TODAY()),0,1)*10000000+IFERROR(MATCH(C438,{"Срочно","Высокий","Средний","Низкий"},0),5)*100000+IF(F438="",99999,F438))*1000+ROW())</f>
        <v/>
      </c>
      <c r="M438" s="0" t="str">
        <f aca="false">IF(AND($J438="Срочные",OR(Главная!$F$6="Все",$B438=Главная!$F$6),OR(Главная!$F$7="Все",$C438=Главная!$F$7)),$L438,"")</f>
        <v/>
      </c>
      <c r="N438" s="0" t="str">
        <f aca="false">IF(AND($J438="Текущие",OR(Главная!$F$6="Все",$B438=Главная!$F$6),OR(Главная!$F$7="Все",$C438=Главная!$F$7)),$L438,"")</f>
        <v/>
      </c>
      <c r="O438" s="0" t="str">
        <f aca="false">IF(AND($J438="Плановые",OR(Главная!$F$6="Все",$B438=Главная!$F$6),OR(Главная!$F$7="Все",$C438=Главная!$F$7)),$L438,"")</f>
        <v/>
      </c>
      <c r="P438" s="0" t="str">
        <f aca="false">IF(J438="Выполнено",ROW(),"")</f>
        <v/>
      </c>
    </row>
    <row r="439" customFormat="false" ht="21.75" hidden="false" customHeight="true" outlineLevel="0" collapsed="false">
      <c r="A439" s="31"/>
      <c r="B439" s="31"/>
      <c r="C439" s="32"/>
      <c r="D439" s="32"/>
      <c r="E439" s="33"/>
      <c r="F439" s="33"/>
      <c r="G439" s="32"/>
      <c r="H439" s="32"/>
      <c r="I439" s="31"/>
      <c r="J439" s="34" t="str">
        <f aca="true">IF(TRIM(A439)="","",IF(D439="Выполнено","Выполнено",IF(OR(C439="Срочно",AND(F439&lt;&gt;"",F439&lt;=TODAY())),"Срочные",IF(OR(D439="Отложено",C439="Низкий",AND(F439&lt;&gt;"",F439&gt;TODAY()+Справочники!$H$2)),"Плановые","Текущие"))))</f>
        <v/>
      </c>
      <c r="K439" s="35" t="str">
        <f aca="true">IF(OR(A439="",D439="Выполнено"),"",IF(F439="",IF(AND(G439&lt;&gt;"",G439&lt;&gt;"Разово"),"↻ "&amp;G439,""),IF(F439&lt;TODAY(),"Просрочено на "&amp;(TODAY()-F439)&amp;" дн.",IF(F439=TODAY(),"Сегодня",IF(F439=TODAY()+1,"Завтра","Через "&amp;(F439-TODAY())&amp;" дн.")))))</f>
        <v/>
      </c>
      <c r="L439" s="0" t="str">
        <f aca="true">IF(J439="","",(IF(AND(F439&lt;&gt;"",F439&lt;TODAY()),0,1)*10000000+IFERROR(MATCH(C439,{"Срочно","Высокий","Средний","Низкий"},0),5)*100000+IF(F439="",99999,F439))*1000+ROW())</f>
        <v/>
      </c>
      <c r="M439" s="0" t="str">
        <f aca="false">IF(AND($J439="Срочные",OR(Главная!$F$6="Все",$B439=Главная!$F$6),OR(Главная!$F$7="Все",$C439=Главная!$F$7)),$L439,"")</f>
        <v/>
      </c>
      <c r="N439" s="0" t="str">
        <f aca="false">IF(AND($J439="Текущие",OR(Главная!$F$6="Все",$B439=Главная!$F$6),OR(Главная!$F$7="Все",$C439=Главная!$F$7)),$L439,"")</f>
        <v/>
      </c>
      <c r="O439" s="0" t="str">
        <f aca="false">IF(AND($J439="Плановые",OR(Главная!$F$6="Все",$B439=Главная!$F$6),OR(Главная!$F$7="Все",$C439=Главная!$F$7)),$L439,"")</f>
        <v/>
      </c>
      <c r="P439" s="0" t="str">
        <f aca="false">IF(J439="Выполнено",ROW(),"")</f>
        <v/>
      </c>
    </row>
    <row r="440" customFormat="false" ht="21.75" hidden="false" customHeight="true" outlineLevel="0" collapsed="false">
      <c r="A440" s="31"/>
      <c r="B440" s="31"/>
      <c r="C440" s="32"/>
      <c r="D440" s="32"/>
      <c r="E440" s="33"/>
      <c r="F440" s="33"/>
      <c r="G440" s="32"/>
      <c r="H440" s="32"/>
      <c r="I440" s="31"/>
      <c r="J440" s="34" t="str">
        <f aca="true">IF(TRIM(A440)="","",IF(D440="Выполнено","Выполнено",IF(OR(C440="Срочно",AND(F440&lt;&gt;"",F440&lt;=TODAY())),"Срочные",IF(OR(D440="Отложено",C440="Низкий",AND(F440&lt;&gt;"",F440&gt;TODAY()+Справочники!$H$2)),"Плановые","Текущие"))))</f>
        <v/>
      </c>
      <c r="K440" s="35" t="str">
        <f aca="true">IF(OR(A440="",D440="Выполнено"),"",IF(F440="",IF(AND(G440&lt;&gt;"",G440&lt;&gt;"Разово"),"↻ "&amp;G440,""),IF(F440&lt;TODAY(),"Просрочено на "&amp;(TODAY()-F440)&amp;" дн.",IF(F440=TODAY(),"Сегодня",IF(F440=TODAY()+1,"Завтра","Через "&amp;(F440-TODAY())&amp;" дн.")))))</f>
        <v/>
      </c>
      <c r="L440" s="0" t="str">
        <f aca="true">IF(J440="","",(IF(AND(F440&lt;&gt;"",F440&lt;TODAY()),0,1)*10000000+IFERROR(MATCH(C440,{"Срочно","Высокий","Средний","Низкий"},0),5)*100000+IF(F440="",99999,F440))*1000+ROW())</f>
        <v/>
      </c>
      <c r="M440" s="0" t="str">
        <f aca="false">IF(AND($J440="Срочные",OR(Главная!$F$6="Все",$B440=Главная!$F$6),OR(Главная!$F$7="Все",$C440=Главная!$F$7)),$L440,"")</f>
        <v/>
      </c>
      <c r="N440" s="0" t="str">
        <f aca="false">IF(AND($J440="Текущие",OR(Главная!$F$6="Все",$B440=Главная!$F$6),OR(Главная!$F$7="Все",$C440=Главная!$F$7)),$L440,"")</f>
        <v/>
      </c>
      <c r="O440" s="0" t="str">
        <f aca="false">IF(AND($J440="Плановые",OR(Главная!$F$6="Все",$B440=Главная!$F$6),OR(Главная!$F$7="Все",$C440=Главная!$F$7)),$L440,"")</f>
        <v/>
      </c>
      <c r="P440" s="0" t="str">
        <f aca="false">IF(J440="Выполнено",ROW(),"")</f>
        <v/>
      </c>
    </row>
    <row r="441" customFormat="false" ht="21.75" hidden="false" customHeight="true" outlineLevel="0" collapsed="false">
      <c r="A441" s="31"/>
      <c r="B441" s="31"/>
      <c r="C441" s="32"/>
      <c r="D441" s="32"/>
      <c r="E441" s="33"/>
      <c r="F441" s="33"/>
      <c r="G441" s="32"/>
      <c r="H441" s="32"/>
      <c r="I441" s="31"/>
      <c r="J441" s="34" t="str">
        <f aca="true">IF(TRIM(A441)="","",IF(D441="Выполнено","Выполнено",IF(OR(C441="Срочно",AND(F441&lt;&gt;"",F441&lt;=TODAY())),"Срочные",IF(OR(D441="Отложено",C441="Низкий",AND(F441&lt;&gt;"",F441&gt;TODAY()+Справочники!$H$2)),"Плановые","Текущие"))))</f>
        <v/>
      </c>
      <c r="K441" s="35" t="str">
        <f aca="true">IF(OR(A441="",D441="Выполнено"),"",IF(F441="",IF(AND(G441&lt;&gt;"",G441&lt;&gt;"Разово"),"↻ "&amp;G441,""),IF(F441&lt;TODAY(),"Просрочено на "&amp;(TODAY()-F441)&amp;" дн.",IF(F441=TODAY(),"Сегодня",IF(F441=TODAY()+1,"Завтра","Через "&amp;(F441-TODAY())&amp;" дн.")))))</f>
        <v/>
      </c>
      <c r="L441" s="0" t="str">
        <f aca="true">IF(J441="","",(IF(AND(F441&lt;&gt;"",F441&lt;TODAY()),0,1)*10000000+IFERROR(MATCH(C441,{"Срочно","Высокий","Средний","Низкий"},0),5)*100000+IF(F441="",99999,F441))*1000+ROW())</f>
        <v/>
      </c>
      <c r="M441" s="0" t="str">
        <f aca="false">IF(AND($J441="Срочные",OR(Главная!$F$6="Все",$B441=Главная!$F$6),OR(Главная!$F$7="Все",$C441=Главная!$F$7)),$L441,"")</f>
        <v/>
      </c>
      <c r="N441" s="0" t="str">
        <f aca="false">IF(AND($J441="Текущие",OR(Главная!$F$6="Все",$B441=Главная!$F$6),OR(Главная!$F$7="Все",$C441=Главная!$F$7)),$L441,"")</f>
        <v/>
      </c>
      <c r="O441" s="0" t="str">
        <f aca="false">IF(AND($J441="Плановые",OR(Главная!$F$6="Все",$B441=Главная!$F$6),OR(Главная!$F$7="Все",$C441=Главная!$F$7)),$L441,"")</f>
        <v/>
      </c>
      <c r="P441" s="0" t="str">
        <f aca="false">IF(J441="Выполнено",ROW(),"")</f>
        <v/>
      </c>
    </row>
    <row r="442" customFormat="false" ht="21.75" hidden="false" customHeight="true" outlineLevel="0" collapsed="false">
      <c r="A442" s="31"/>
      <c r="B442" s="31"/>
      <c r="C442" s="32"/>
      <c r="D442" s="32"/>
      <c r="E442" s="33"/>
      <c r="F442" s="33"/>
      <c r="G442" s="32"/>
      <c r="H442" s="32"/>
      <c r="I442" s="31"/>
      <c r="J442" s="34" t="str">
        <f aca="true">IF(TRIM(A442)="","",IF(D442="Выполнено","Выполнено",IF(OR(C442="Срочно",AND(F442&lt;&gt;"",F442&lt;=TODAY())),"Срочные",IF(OR(D442="Отложено",C442="Низкий",AND(F442&lt;&gt;"",F442&gt;TODAY()+Справочники!$H$2)),"Плановые","Текущие"))))</f>
        <v/>
      </c>
      <c r="K442" s="35" t="str">
        <f aca="true">IF(OR(A442="",D442="Выполнено"),"",IF(F442="",IF(AND(G442&lt;&gt;"",G442&lt;&gt;"Разово"),"↻ "&amp;G442,""),IF(F442&lt;TODAY(),"Просрочено на "&amp;(TODAY()-F442)&amp;" дн.",IF(F442=TODAY(),"Сегодня",IF(F442=TODAY()+1,"Завтра","Через "&amp;(F442-TODAY())&amp;" дн.")))))</f>
        <v/>
      </c>
      <c r="L442" s="0" t="str">
        <f aca="true">IF(J442="","",(IF(AND(F442&lt;&gt;"",F442&lt;TODAY()),0,1)*10000000+IFERROR(MATCH(C442,{"Срочно","Высокий","Средний","Низкий"},0),5)*100000+IF(F442="",99999,F442))*1000+ROW())</f>
        <v/>
      </c>
      <c r="M442" s="0" t="str">
        <f aca="false">IF(AND($J442="Срочные",OR(Главная!$F$6="Все",$B442=Главная!$F$6),OR(Главная!$F$7="Все",$C442=Главная!$F$7)),$L442,"")</f>
        <v/>
      </c>
      <c r="N442" s="0" t="str">
        <f aca="false">IF(AND($J442="Текущие",OR(Главная!$F$6="Все",$B442=Главная!$F$6),OR(Главная!$F$7="Все",$C442=Главная!$F$7)),$L442,"")</f>
        <v/>
      </c>
      <c r="O442" s="0" t="str">
        <f aca="false">IF(AND($J442="Плановые",OR(Главная!$F$6="Все",$B442=Главная!$F$6),OR(Главная!$F$7="Все",$C442=Главная!$F$7)),$L442,"")</f>
        <v/>
      </c>
      <c r="P442" s="0" t="str">
        <f aca="false">IF(J442="Выполнено",ROW(),"")</f>
        <v/>
      </c>
    </row>
    <row r="443" customFormat="false" ht="21.75" hidden="false" customHeight="true" outlineLevel="0" collapsed="false">
      <c r="A443" s="31"/>
      <c r="B443" s="31"/>
      <c r="C443" s="32"/>
      <c r="D443" s="32"/>
      <c r="E443" s="33"/>
      <c r="F443" s="33"/>
      <c r="G443" s="32"/>
      <c r="H443" s="32"/>
      <c r="I443" s="31"/>
      <c r="J443" s="34" t="str">
        <f aca="true">IF(TRIM(A443)="","",IF(D443="Выполнено","Выполнено",IF(OR(C443="Срочно",AND(F443&lt;&gt;"",F443&lt;=TODAY())),"Срочные",IF(OR(D443="Отложено",C443="Низкий",AND(F443&lt;&gt;"",F443&gt;TODAY()+Справочники!$H$2)),"Плановые","Текущие"))))</f>
        <v/>
      </c>
      <c r="K443" s="35" t="str">
        <f aca="true">IF(OR(A443="",D443="Выполнено"),"",IF(F443="",IF(AND(G443&lt;&gt;"",G443&lt;&gt;"Разово"),"↻ "&amp;G443,""),IF(F443&lt;TODAY(),"Просрочено на "&amp;(TODAY()-F443)&amp;" дн.",IF(F443=TODAY(),"Сегодня",IF(F443=TODAY()+1,"Завтра","Через "&amp;(F443-TODAY())&amp;" дн.")))))</f>
        <v/>
      </c>
      <c r="L443" s="0" t="str">
        <f aca="true">IF(J443="","",(IF(AND(F443&lt;&gt;"",F443&lt;TODAY()),0,1)*10000000+IFERROR(MATCH(C443,{"Срочно","Высокий","Средний","Низкий"},0),5)*100000+IF(F443="",99999,F443))*1000+ROW())</f>
        <v/>
      </c>
      <c r="M443" s="0" t="str">
        <f aca="false">IF(AND($J443="Срочные",OR(Главная!$F$6="Все",$B443=Главная!$F$6),OR(Главная!$F$7="Все",$C443=Главная!$F$7)),$L443,"")</f>
        <v/>
      </c>
      <c r="N443" s="0" t="str">
        <f aca="false">IF(AND($J443="Текущие",OR(Главная!$F$6="Все",$B443=Главная!$F$6),OR(Главная!$F$7="Все",$C443=Главная!$F$7)),$L443,"")</f>
        <v/>
      </c>
      <c r="O443" s="0" t="str">
        <f aca="false">IF(AND($J443="Плановые",OR(Главная!$F$6="Все",$B443=Главная!$F$6),OR(Главная!$F$7="Все",$C443=Главная!$F$7)),$L443,"")</f>
        <v/>
      </c>
      <c r="P443" s="0" t="str">
        <f aca="false">IF(J443="Выполнено",ROW(),"")</f>
        <v/>
      </c>
    </row>
    <row r="444" customFormat="false" ht="21.75" hidden="false" customHeight="true" outlineLevel="0" collapsed="false">
      <c r="A444" s="31"/>
      <c r="B444" s="31"/>
      <c r="C444" s="32"/>
      <c r="D444" s="32"/>
      <c r="E444" s="33"/>
      <c r="F444" s="33"/>
      <c r="G444" s="32"/>
      <c r="H444" s="32"/>
      <c r="I444" s="31"/>
      <c r="J444" s="34" t="str">
        <f aca="true">IF(TRIM(A444)="","",IF(D444="Выполнено","Выполнено",IF(OR(C444="Срочно",AND(F444&lt;&gt;"",F444&lt;=TODAY())),"Срочные",IF(OR(D444="Отложено",C444="Низкий",AND(F444&lt;&gt;"",F444&gt;TODAY()+Справочники!$H$2)),"Плановые","Текущие"))))</f>
        <v/>
      </c>
      <c r="K444" s="35" t="str">
        <f aca="true">IF(OR(A444="",D444="Выполнено"),"",IF(F444="",IF(AND(G444&lt;&gt;"",G444&lt;&gt;"Разово"),"↻ "&amp;G444,""),IF(F444&lt;TODAY(),"Просрочено на "&amp;(TODAY()-F444)&amp;" дн.",IF(F444=TODAY(),"Сегодня",IF(F444=TODAY()+1,"Завтра","Через "&amp;(F444-TODAY())&amp;" дн.")))))</f>
        <v/>
      </c>
      <c r="L444" s="0" t="str">
        <f aca="true">IF(J444="","",(IF(AND(F444&lt;&gt;"",F444&lt;TODAY()),0,1)*10000000+IFERROR(MATCH(C444,{"Срочно","Высокий","Средний","Низкий"},0),5)*100000+IF(F444="",99999,F444))*1000+ROW())</f>
        <v/>
      </c>
      <c r="M444" s="0" t="str">
        <f aca="false">IF(AND($J444="Срочные",OR(Главная!$F$6="Все",$B444=Главная!$F$6),OR(Главная!$F$7="Все",$C444=Главная!$F$7)),$L444,"")</f>
        <v/>
      </c>
      <c r="N444" s="0" t="str">
        <f aca="false">IF(AND($J444="Текущие",OR(Главная!$F$6="Все",$B444=Главная!$F$6),OR(Главная!$F$7="Все",$C444=Главная!$F$7)),$L444,"")</f>
        <v/>
      </c>
      <c r="O444" s="0" t="str">
        <f aca="false">IF(AND($J444="Плановые",OR(Главная!$F$6="Все",$B444=Главная!$F$6),OR(Главная!$F$7="Все",$C444=Главная!$F$7)),$L444,"")</f>
        <v/>
      </c>
      <c r="P444" s="0" t="str">
        <f aca="false">IF(J444="Выполнено",ROW(),"")</f>
        <v/>
      </c>
    </row>
    <row r="445" customFormat="false" ht="21.75" hidden="false" customHeight="true" outlineLevel="0" collapsed="false">
      <c r="A445" s="31"/>
      <c r="B445" s="31"/>
      <c r="C445" s="32"/>
      <c r="D445" s="32"/>
      <c r="E445" s="33"/>
      <c r="F445" s="33"/>
      <c r="G445" s="32"/>
      <c r="H445" s="32"/>
      <c r="I445" s="31"/>
      <c r="J445" s="34" t="str">
        <f aca="true">IF(TRIM(A445)="","",IF(D445="Выполнено","Выполнено",IF(OR(C445="Срочно",AND(F445&lt;&gt;"",F445&lt;=TODAY())),"Срочные",IF(OR(D445="Отложено",C445="Низкий",AND(F445&lt;&gt;"",F445&gt;TODAY()+Справочники!$H$2)),"Плановые","Текущие"))))</f>
        <v/>
      </c>
      <c r="K445" s="35" t="str">
        <f aca="true">IF(OR(A445="",D445="Выполнено"),"",IF(F445="",IF(AND(G445&lt;&gt;"",G445&lt;&gt;"Разово"),"↻ "&amp;G445,""),IF(F445&lt;TODAY(),"Просрочено на "&amp;(TODAY()-F445)&amp;" дн.",IF(F445=TODAY(),"Сегодня",IF(F445=TODAY()+1,"Завтра","Через "&amp;(F445-TODAY())&amp;" дн.")))))</f>
        <v/>
      </c>
      <c r="L445" s="0" t="str">
        <f aca="true">IF(J445="","",(IF(AND(F445&lt;&gt;"",F445&lt;TODAY()),0,1)*10000000+IFERROR(MATCH(C445,{"Срочно","Высокий","Средний","Низкий"},0),5)*100000+IF(F445="",99999,F445))*1000+ROW())</f>
        <v/>
      </c>
      <c r="M445" s="0" t="str">
        <f aca="false">IF(AND($J445="Срочные",OR(Главная!$F$6="Все",$B445=Главная!$F$6),OR(Главная!$F$7="Все",$C445=Главная!$F$7)),$L445,"")</f>
        <v/>
      </c>
      <c r="N445" s="0" t="str">
        <f aca="false">IF(AND($J445="Текущие",OR(Главная!$F$6="Все",$B445=Главная!$F$6),OR(Главная!$F$7="Все",$C445=Главная!$F$7)),$L445,"")</f>
        <v/>
      </c>
      <c r="O445" s="0" t="str">
        <f aca="false">IF(AND($J445="Плановые",OR(Главная!$F$6="Все",$B445=Главная!$F$6),OR(Главная!$F$7="Все",$C445=Главная!$F$7)),$L445,"")</f>
        <v/>
      </c>
      <c r="P445" s="0" t="str">
        <f aca="false">IF(J445="Выполнено",ROW(),"")</f>
        <v/>
      </c>
    </row>
    <row r="446" customFormat="false" ht="21.75" hidden="false" customHeight="true" outlineLevel="0" collapsed="false">
      <c r="A446" s="31"/>
      <c r="B446" s="31"/>
      <c r="C446" s="32"/>
      <c r="D446" s="32"/>
      <c r="E446" s="33"/>
      <c r="F446" s="33"/>
      <c r="G446" s="32"/>
      <c r="H446" s="32"/>
      <c r="I446" s="31"/>
      <c r="J446" s="34" t="str">
        <f aca="true">IF(TRIM(A446)="","",IF(D446="Выполнено","Выполнено",IF(OR(C446="Срочно",AND(F446&lt;&gt;"",F446&lt;=TODAY())),"Срочные",IF(OR(D446="Отложено",C446="Низкий",AND(F446&lt;&gt;"",F446&gt;TODAY()+Справочники!$H$2)),"Плановые","Текущие"))))</f>
        <v/>
      </c>
      <c r="K446" s="35" t="str">
        <f aca="true">IF(OR(A446="",D446="Выполнено"),"",IF(F446="",IF(AND(G446&lt;&gt;"",G446&lt;&gt;"Разово"),"↻ "&amp;G446,""),IF(F446&lt;TODAY(),"Просрочено на "&amp;(TODAY()-F446)&amp;" дн.",IF(F446=TODAY(),"Сегодня",IF(F446=TODAY()+1,"Завтра","Через "&amp;(F446-TODAY())&amp;" дн.")))))</f>
        <v/>
      </c>
      <c r="L446" s="0" t="str">
        <f aca="true">IF(J446="","",(IF(AND(F446&lt;&gt;"",F446&lt;TODAY()),0,1)*10000000+IFERROR(MATCH(C446,{"Срочно","Высокий","Средний","Низкий"},0),5)*100000+IF(F446="",99999,F446))*1000+ROW())</f>
        <v/>
      </c>
      <c r="M446" s="0" t="str">
        <f aca="false">IF(AND($J446="Срочные",OR(Главная!$F$6="Все",$B446=Главная!$F$6),OR(Главная!$F$7="Все",$C446=Главная!$F$7)),$L446,"")</f>
        <v/>
      </c>
      <c r="N446" s="0" t="str">
        <f aca="false">IF(AND($J446="Текущие",OR(Главная!$F$6="Все",$B446=Главная!$F$6),OR(Главная!$F$7="Все",$C446=Главная!$F$7)),$L446,"")</f>
        <v/>
      </c>
      <c r="O446" s="0" t="str">
        <f aca="false">IF(AND($J446="Плановые",OR(Главная!$F$6="Все",$B446=Главная!$F$6),OR(Главная!$F$7="Все",$C446=Главная!$F$7)),$L446,"")</f>
        <v/>
      </c>
      <c r="P446" s="0" t="str">
        <f aca="false">IF(J446="Выполнено",ROW(),"")</f>
        <v/>
      </c>
    </row>
    <row r="447" customFormat="false" ht="21.75" hidden="false" customHeight="true" outlineLevel="0" collapsed="false">
      <c r="A447" s="31"/>
      <c r="B447" s="31"/>
      <c r="C447" s="32"/>
      <c r="D447" s="32"/>
      <c r="E447" s="33"/>
      <c r="F447" s="33"/>
      <c r="G447" s="32"/>
      <c r="H447" s="32"/>
      <c r="I447" s="31"/>
      <c r="J447" s="34" t="str">
        <f aca="true">IF(TRIM(A447)="","",IF(D447="Выполнено","Выполнено",IF(OR(C447="Срочно",AND(F447&lt;&gt;"",F447&lt;=TODAY())),"Срочные",IF(OR(D447="Отложено",C447="Низкий",AND(F447&lt;&gt;"",F447&gt;TODAY()+Справочники!$H$2)),"Плановые","Текущие"))))</f>
        <v/>
      </c>
      <c r="K447" s="35" t="str">
        <f aca="true">IF(OR(A447="",D447="Выполнено"),"",IF(F447="",IF(AND(G447&lt;&gt;"",G447&lt;&gt;"Разово"),"↻ "&amp;G447,""),IF(F447&lt;TODAY(),"Просрочено на "&amp;(TODAY()-F447)&amp;" дн.",IF(F447=TODAY(),"Сегодня",IF(F447=TODAY()+1,"Завтра","Через "&amp;(F447-TODAY())&amp;" дн.")))))</f>
        <v/>
      </c>
      <c r="L447" s="0" t="str">
        <f aca="true">IF(J447="","",(IF(AND(F447&lt;&gt;"",F447&lt;TODAY()),0,1)*10000000+IFERROR(MATCH(C447,{"Срочно","Высокий","Средний","Низкий"},0),5)*100000+IF(F447="",99999,F447))*1000+ROW())</f>
        <v/>
      </c>
      <c r="M447" s="0" t="str">
        <f aca="false">IF(AND($J447="Срочные",OR(Главная!$F$6="Все",$B447=Главная!$F$6),OR(Главная!$F$7="Все",$C447=Главная!$F$7)),$L447,"")</f>
        <v/>
      </c>
      <c r="N447" s="0" t="str">
        <f aca="false">IF(AND($J447="Текущие",OR(Главная!$F$6="Все",$B447=Главная!$F$6),OR(Главная!$F$7="Все",$C447=Главная!$F$7)),$L447,"")</f>
        <v/>
      </c>
      <c r="O447" s="0" t="str">
        <f aca="false">IF(AND($J447="Плановые",OR(Главная!$F$6="Все",$B447=Главная!$F$6),OR(Главная!$F$7="Все",$C447=Главная!$F$7)),$L447,"")</f>
        <v/>
      </c>
      <c r="P447" s="0" t="str">
        <f aca="false">IF(J447="Выполнено",ROW(),"")</f>
        <v/>
      </c>
    </row>
    <row r="448" customFormat="false" ht="21.75" hidden="false" customHeight="true" outlineLevel="0" collapsed="false">
      <c r="A448" s="31"/>
      <c r="B448" s="31"/>
      <c r="C448" s="32"/>
      <c r="D448" s="32"/>
      <c r="E448" s="33"/>
      <c r="F448" s="33"/>
      <c r="G448" s="32"/>
      <c r="H448" s="32"/>
      <c r="I448" s="31"/>
      <c r="J448" s="34" t="str">
        <f aca="true">IF(TRIM(A448)="","",IF(D448="Выполнено","Выполнено",IF(OR(C448="Срочно",AND(F448&lt;&gt;"",F448&lt;=TODAY())),"Срочные",IF(OR(D448="Отложено",C448="Низкий",AND(F448&lt;&gt;"",F448&gt;TODAY()+Справочники!$H$2)),"Плановые","Текущие"))))</f>
        <v/>
      </c>
      <c r="K448" s="35" t="str">
        <f aca="true">IF(OR(A448="",D448="Выполнено"),"",IF(F448="",IF(AND(G448&lt;&gt;"",G448&lt;&gt;"Разово"),"↻ "&amp;G448,""),IF(F448&lt;TODAY(),"Просрочено на "&amp;(TODAY()-F448)&amp;" дн.",IF(F448=TODAY(),"Сегодня",IF(F448=TODAY()+1,"Завтра","Через "&amp;(F448-TODAY())&amp;" дн.")))))</f>
        <v/>
      </c>
      <c r="L448" s="0" t="str">
        <f aca="true">IF(J448="","",(IF(AND(F448&lt;&gt;"",F448&lt;TODAY()),0,1)*10000000+IFERROR(MATCH(C448,{"Срочно","Высокий","Средний","Низкий"},0),5)*100000+IF(F448="",99999,F448))*1000+ROW())</f>
        <v/>
      </c>
      <c r="M448" s="0" t="str">
        <f aca="false">IF(AND($J448="Срочные",OR(Главная!$F$6="Все",$B448=Главная!$F$6),OR(Главная!$F$7="Все",$C448=Главная!$F$7)),$L448,"")</f>
        <v/>
      </c>
      <c r="N448" s="0" t="str">
        <f aca="false">IF(AND($J448="Текущие",OR(Главная!$F$6="Все",$B448=Главная!$F$6),OR(Главная!$F$7="Все",$C448=Главная!$F$7)),$L448,"")</f>
        <v/>
      </c>
      <c r="O448" s="0" t="str">
        <f aca="false">IF(AND($J448="Плановые",OR(Главная!$F$6="Все",$B448=Главная!$F$6),OR(Главная!$F$7="Все",$C448=Главная!$F$7)),$L448,"")</f>
        <v/>
      </c>
      <c r="P448" s="0" t="str">
        <f aca="false">IF(J448="Выполнено",ROW(),"")</f>
        <v/>
      </c>
    </row>
    <row r="449" customFormat="false" ht="21.75" hidden="false" customHeight="true" outlineLevel="0" collapsed="false">
      <c r="A449" s="31"/>
      <c r="B449" s="31"/>
      <c r="C449" s="32"/>
      <c r="D449" s="32"/>
      <c r="E449" s="33"/>
      <c r="F449" s="33"/>
      <c r="G449" s="32"/>
      <c r="H449" s="32"/>
      <c r="I449" s="31"/>
      <c r="J449" s="34" t="str">
        <f aca="true">IF(TRIM(A449)="","",IF(D449="Выполнено","Выполнено",IF(OR(C449="Срочно",AND(F449&lt;&gt;"",F449&lt;=TODAY())),"Срочные",IF(OR(D449="Отложено",C449="Низкий",AND(F449&lt;&gt;"",F449&gt;TODAY()+Справочники!$H$2)),"Плановые","Текущие"))))</f>
        <v/>
      </c>
      <c r="K449" s="35" t="str">
        <f aca="true">IF(OR(A449="",D449="Выполнено"),"",IF(F449="",IF(AND(G449&lt;&gt;"",G449&lt;&gt;"Разово"),"↻ "&amp;G449,""),IF(F449&lt;TODAY(),"Просрочено на "&amp;(TODAY()-F449)&amp;" дн.",IF(F449=TODAY(),"Сегодня",IF(F449=TODAY()+1,"Завтра","Через "&amp;(F449-TODAY())&amp;" дн.")))))</f>
        <v/>
      </c>
      <c r="L449" s="0" t="str">
        <f aca="true">IF(J449="","",(IF(AND(F449&lt;&gt;"",F449&lt;TODAY()),0,1)*10000000+IFERROR(MATCH(C449,{"Срочно","Высокий","Средний","Низкий"},0),5)*100000+IF(F449="",99999,F449))*1000+ROW())</f>
        <v/>
      </c>
      <c r="M449" s="0" t="str">
        <f aca="false">IF(AND($J449="Срочные",OR(Главная!$F$6="Все",$B449=Главная!$F$6),OR(Главная!$F$7="Все",$C449=Главная!$F$7)),$L449,"")</f>
        <v/>
      </c>
      <c r="N449" s="0" t="str">
        <f aca="false">IF(AND($J449="Текущие",OR(Главная!$F$6="Все",$B449=Главная!$F$6),OR(Главная!$F$7="Все",$C449=Главная!$F$7)),$L449,"")</f>
        <v/>
      </c>
      <c r="O449" s="0" t="str">
        <f aca="false">IF(AND($J449="Плановые",OR(Главная!$F$6="Все",$B449=Главная!$F$6),OR(Главная!$F$7="Все",$C449=Главная!$F$7)),$L449,"")</f>
        <v/>
      </c>
      <c r="P449" s="0" t="str">
        <f aca="false">IF(J449="Выполнено",ROW(),"")</f>
        <v/>
      </c>
    </row>
    <row r="450" customFormat="false" ht="21.75" hidden="false" customHeight="true" outlineLevel="0" collapsed="false">
      <c r="A450" s="31"/>
      <c r="B450" s="31"/>
      <c r="C450" s="32"/>
      <c r="D450" s="32"/>
      <c r="E450" s="33"/>
      <c r="F450" s="33"/>
      <c r="G450" s="32"/>
      <c r="H450" s="32"/>
      <c r="I450" s="31"/>
      <c r="J450" s="34" t="str">
        <f aca="true">IF(TRIM(A450)="","",IF(D450="Выполнено","Выполнено",IF(OR(C450="Срочно",AND(F450&lt;&gt;"",F450&lt;=TODAY())),"Срочные",IF(OR(D450="Отложено",C450="Низкий",AND(F450&lt;&gt;"",F450&gt;TODAY()+Справочники!$H$2)),"Плановые","Текущие"))))</f>
        <v/>
      </c>
      <c r="K450" s="35" t="str">
        <f aca="true">IF(OR(A450="",D450="Выполнено"),"",IF(F450="",IF(AND(G450&lt;&gt;"",G450&lt;&gt;"Разово"),"↻ "&amp;G450,""),IF(F450&lt;TODAY(),"Просрочено на "&amp;(TODAY()-F450)&amp;" дн.",IF(F450=TODAY(),"Сегодня",IF(F450=TODAY()+1,"Завтра","Через "&amp;(F450-TODAY())&amp;" дн.")))))</f>
        <v/>
      </c>
      <c r="L450" s="0" t="str">
        <f aca="true">IF(J450="","",(IF(AND(F450&lt;&gt;"",F450&lt;TODAY()),0,1)*10000000+IFERROR(MATCH(C450,{"Срочно","Высокий","Средний","Низкий"},0),5)*100000+IF(F450="",99999,F450))*1000+ROW())</f>
        <v/>
      </c>
      <c r="M450" s="0" t="str">
        <f aca="false">IF(AND($J450="Срочные",OR(Главная!$F$6="Все",$B450=Главная!$F$6),OR(Главная!$F$7="Все",$C450=Главная!$F$7)),$L450,"")</f>
        <v/>
      </c>
      <c r="N450" s="0" t="str">
        <f aca="false">IF(AND($J450="Текущие",OR(Главная!$F$6="Все",$B450=Главная!$F$6),OR(Главная!$F$7="Все",$C450=Главная!$F$7)),$L450,"")</f>
        <v/>
      </c>
      <c r="O450" s="0" t="str">
        <f aca="false">IF(AND($J450="Плановые",OR(Главная!$F$6="Все",$B450=Главная!$F$6),OR(Главная!$F$7="Все",$C450=Главная!$F$7)),$L450,"")</f>
        <v/>
      </c>
      <c r="P450" s="0" t="str">
        <f aca="false">IF(J450="Выполнено",ROW(),"")</f>
        <v/>
      </c>
    </row>
    <row r="451" customFormat="false" ht="21.75" hidden="false" customHeight="true" outlineLevel="0" collapsed="false">
      <c r="A451" s="31"/>
      <c r="B451" s="31"/>
      <c r="C451" s="32"/>
      <c r="D451" s="32"/>
      <c r="E451" s="33"/>
      <c r="F451" s="33"/>
      <c r="G451" s="32"/>
      <c r="H451" s="32"/>
      <c r="I451" s="31"/>
      <c r="J451" s="34" t="str">
        <f aca="true">IF(TRIM(A451)="","",IF(D451="Выполнено","Выполнено",IF(OR(C451="Срочно",AND(F451&lt;&gt;"",F451&lt;=TODAY())),"Срочные",IF(OR(D451="Отложено",C451="Низкий",AND(F451&lt;&gt;"",F451&gt;TODAY()+Справочники!$H$2)),"Плановые","Текущие"))))</f>
        <v/>
      </c>
      <c r="K451" s="35" t="str">
        <f aca="true">IF(OR(A451="",D451="Выполнено"),"",IF(F451="",IF(AND(G451&lt;&gt;"",G451&lt;&gt;"Разово"),"↻ "&amp;G451,""),IF(F451&lt;TODAY(),"Просрочено на "&amp;(TODAY()-F451)&amp;" дн.",IF(F451=TODAY(),"Сегодня",IF(F451=TODAY()+1,"Завтра","Через "&amp;(F451-TODAY())&amp;" дн.")))))</f>
        <v/>
      </c>
      <c r="L451" s="0" t="str">
        <f aca="true">IF(J451="","",(IF(AND(F451&lt;&gt;"",F451&lt;TODAY()),0,1)*10000000+IFERROR(MATCH(C451,{"Срочно","Высокий","Средний","Низкий"},0),5)*100000+IF(F451="",99999,F451))*1000+ROW())</f>
        <v/>
      </c>
      <c r="M451" s="0" t="str">
        <f aca="false">IF(AND($J451="Срочные",OR(Главная!$F$6="Все",$B451=Главная!$F$6),OR(Главная!$F$7="Все",$C451=Главная!$F$7)),$L451,"")</f>
        <v/>
      </c>
      <c r="N451" s="0" t="str">
        <f aca="false">IF(AND($J451="Текущие",OR(Главная!$F$6="Все",$B451=Главная!$F$6),OR(Главная!$F$7="Все",$C451=Главная!$F$7)),$L451,"")</f>
        <v/>
      </c>
      <c r="O451" s="0" t="str">
        <f aca="false">IF(AND($J451="Плановые",OR(Главная!$F$6="Все",$B451=Главная!$F$6),OR(Главная!$F$7="Все",$C451=Главная!$F$7)),$L451,"")</f>
        <v/>
      </c>
      <c r="P451" s="0" t="str">
        <f aca="false">IF(J451="Выполнено",ROW(),"")</f>
        <v/>
      </c>
    </row>
    <row r="452" customFormat="false" ht="21.75" hidden="false" customHeight="true" outlineLevel="0" collapsed="false">
      <c r="A452" s="31"/>
      <c r="B452" s="31"/>
      <c r="C452" s="32"/>
      <c r="D452" s="32"/>
      <c r="E452" s="33"/>
      <c r="F452" s="33"/>
      <c r="G452" s="32"/>
      <c r="H452" s="32"/>
      <c r="I452" s="31"/>
      <c r="J452" s="34" t="str">
        <f aca="true">IF(TRIM(A452)="","",IF(D452="Выполнено","Выполнено",IF(OR(C452="Срочно",AND(F452&lt;&gt;"",F452&lt;=TODAY())),"Срочные",IF(OR(D452="Отложено",C452="Низкий",AND(F452&lt;&gt;"",F452&gt;TODAY()+Справочники!$H$2)),"Плановые","Текущие"))))</f>
        <v/>
      </c>
      <c r="K452" s="35" t="str">
        <f aca="true">IF(OR(A452="",D452="Выполнено"),"",IF(F452="",IF(AND(G452&lt;&gt;"",G452&lt;&gt;"Разово"),"↻ "&amp;G452,""),IF(F452&lt;TODAY(),"Просрочено на "&amp;(TODAY()-F452)&amp;" дн.",IF(F452=TODAY(),"Сегодня",IF(F452=TODAY()+1,"Завтра","Через "&amp;(F452-TODAY())&amp;" дн.")))))</f>
        <v/>
      </c>
      <c r="L452" s="0" t="str">
        <f aca="true">IF(J452="","",(IF(AND(F452&lt;&gt;"",F452&lt;TODAY()),0,1)*10000000+IFERROR(MATCH(C452,{"Срочно","Высокий","Средний","Низкий"},0),5)*100000+IF(F452="",99999,F452))*1000+ROW())</f>
        <v/>
      </c>
      <c r="M452" s="0" t="str">
        <f aca="false">IF(AND($J452="Срочные",OR(Главная!$F$6="Все",$B452=Главная!$F$6),OR(Главная!$F$7="Все",$C452=Главная!$F$7)),$L452,"")</f>
        <v/>
      </c>
      <c r="N452" s="0" t="str">
        <f aca="false">IF(AND($J452="Текущие",OR(Главная!$F$6="Все",$B452=Главная!$F$6),OR(Главная!$F$7="Все",$C452=Главная!$F$7)),$L452,"")</f>
        <v/>
      </c>
      <c r="O452" s="0" t="str">
        <f aca="false">IF(AND($J452="Плановые",OR(Главная!$F$6="Все",$B452=Главная!$F$6),OR(Главная!$F$7="Все",$C452=Главная!$F$7)),$L452,"")</f>
        <v/>
      </c>
      <c r="P452" s="0" t="str">
        <f aca="false">IF(J452="Выполнено",ROW(),"")</f>
        <v/>
      </c>
    </row>
    <row r="453" customFormat="false" ht="21.75" hidden="false" customHeight="true" outlineLevel="0" collapsed="false">
      <c r="A453" s="31"/>
      <c r="B453" s="31"/>
      <c r="C453" s="32"/>
      <c r="D453" s="32"/>
      <c r="E453" s="33"/>
      <c r="F453" s="33"/>
      <c r="G453" s="32"/>
      <c r="H453" s="32"/>
      <c r="I453" s="31"/>
      <c r="J453" s="34" t="str">
        <f aca="true">IF(TRIM(A453)="","",IF(D453="Выполнено","Выполнено",IF(OR(C453="Срочно",AND(F453&lt;&gt;"",F453&lt;=TODAY())),"Срочные",IF(OR(D453="Отложено",C453="Низкий",AND(F453&lt;&gt;"",F453&gt;TODAY()+Справочники!$H$2)),"Плановые","Текущие"))))</f>
        <v/>
      </c>
      <c r="K453" s="35" t="str">
        <f aca="true">IF(OR(A453="",D453="Выполнено"),"",IF(F453="",IF(AND(G453&lt;&gt;"",G453&lt;&gt;"Разово"),"↻ "&amp;G453,""),IF(F453&lt;TODAY(),"Просрочено на "&amp;(TODAY()-F453)&amp;" дн.",IF(F453=TODAY(),"Сегодня",IF(F453=TODAY()+1,"Завтра","Через "&amp;(F453-TODAY())&amp;" дн.")))))</f>
        <v/>
      </c>
      <c r="L453" s="0" t="str">
        <f aca="true">IF(J453="","",(IF(AND(F453&lt;&gt;"",F453&lt;TODAY()),0,1)*10000000+IFERROR(MATCH(C453,{"Срочно","Высокий","Средний","Низкий"},0),5)*100000+IF(F453="",99999,F453))*1000+ROW())</f>
        <v/>
      </c>
      <c r="M453" s="0" t="str">
        <f aca="false">IF(AND($J453="Срочные",OR(Главная!$F$6="Все",$B453=Главная!$F$6),OR(Главная!$F$7="Все",$C453=Главная!$F$7)),$L453,"")</f>
        <v/>
      </c>
      <c r="N453" s="0" t="str">
        <f aca="false">IF(AND($J453="Текущие",OR(Главная!$F$6="Все",$B453=Главная!$F$6),OR(Главная!$F$7="Все",$C453=Главная!$F$7)),$L453,"")</f>
        <v/>
      </c>
      <c r="O453" s="0" t="str">
        <f aca="false">IF(AND($J453="Плановые",OR(Главная!$F$6="Все",$B453=Главная!$F$6),OR(Главная!$F$7="Все",$C453=Главная!$F$7)),$L453,"")</f>
        <v/>
      </c>
      <c r="P453" s="0" t="str">
        <f aca="false">IF(J453="Выполнено",ROW(),"")</f>
        <v/>
      </c>
    </row>
    <row r="454" customFormat="false" ht="21.75" hidden="false" customHeight="true" outlineLevel="0" collapsed="false">
      <c r="A454" s="31"/>
      <c r="B454" s="31"/>
      <c r="C454" s="32"/>
      <c r="D454" s="32"/>
      <c r="E454" s="33"/>
      <c r="F454" s="33"/>
      <c r="G454" s="32"/>
      <c r="H454" s="32"/>
      <c r="I454" s="31"/>
      <c r="J454" s="34" t="str">
        <f aca="true">IF(TRIM(A454)="","",IF(D454="Выполнено","Выполнено",IF(OR(C454="Срочно",AND(F454&lt;&gt;"",F454&lt;=TODAY())),"Срочные",IF(OR(D454="Отложено",C454="Низкий",AND(F454&lt;&gt;"",F454&gt;TODAY()+Справочники!$H$2)),"Плановые","Текущие"))))</f>
        <v/>
      </c>
      <c r="K454" s="35" t="str">
        <f aca="true">IF(OR(A454="",D454="Выполнено"),"",IF(F454="",IF(AND(G454&lt;&gt;"",G454&lt;&gt;"Разово"),"↻ "&amp;G454,""),IF(F454&lt;TODAY(),"Просрочено на "&amp;(TODAY()-F454)&amp;" дн.",IF(F454=TODAY(),"Сегодня",IF(F454=TODAY()+1,"Завтра","Через "&amp;(F454-TODAY())&amp;" дн.")))))</f>
        <v/>
      </c>
      <c r="L454" s="0" t="str">
        <f aca="true">IF(J454="","",(IF(AND(F454&lt;&gt;"",F454&lt;TODAY()),0,1)*10000000+IFERROR(MATCH(C454,{"Срочно","Высокий","Средний","Низкий"},0),5)*100000+IF(F454="",99999,F454))*1000+ROW())</f>
        <v/>
      </c>
      <c r="M454" s="0" t="str">
        <f aca="false">IF(AND($J454="Срочные",OR(Главная!$F$6="Все",$B454=Главная!$F$6),OR(Главная!$F$7="Все",$C454=Главная!$F$7)),$L454,"")</f>
        <v/>
      </c>
      <c r="N454" s="0" t="str">
        <f aca="false">IF(AND($J454="Текущие",OR(Главная!$F$6="Все",$B454=Главная!$F$6),OR(Главная!$F$7="Все",$C454=Главная!$F$7)),$L454,"")</f>
        <v/>
      </c>
      <c r="O454" s="0" t="str">
        <f aca="false">IF(AND($J454="Плановые",OR(Главная!$F$6="Все",$B454=Главная!$F$6),OR(Главная!$F$7="Все",$C454=Главная!$F$7)),$L454,"")</f>
        <v/>
      </c>
      <c r="P454" s="0" t="str">
        <f aca="false">IF(J454="Выполнено",ROW(),"")</f>
        <v/>
      </c>
    </row>
    <row r="455" customFormat="false" ht="21.75" hidden="false" customHeight="true" outlineLevel="0" collapsed="false">
      <c r="A455" s="31"/>
      <c r="B455" s="31"/>
      <c r="C455" s="32"/>
      <c r="D455" s="32"/>
      <c r="E455" s="33"/>
      <c r="F455" s="33"/>
      <c r="G455" s="32"/>
      <c r="H455" s="32"/>
      <c r="I455" s="31"/>
      <c r="J455" s="34" t="str">
        <f aca="true">IF(TRIM(A455)="","",IF(D455="Выполнено","Выполнено",IF(OR(C455="Срочно",AND(F455&lt;&gt;"",F455&lt;=TODAY())),"Срочные",IF(OR(D455="Отложено",C455="Низкий",AND(F455&lt;&gt;"",F455&gt;TODAY()+Справочники!$H$2)),"Плановые","Текущие"))))</f>
        <v/>
      </c>
      <c r="K455" s="35" t="str">
        <f aca="true">IF(OR(A455="",D455="Выполнено"),"",IF(F455="",IF(AND(G455&lt;&gt;"",G455&lt;&gt;"Разово"),"↻ "&amp;G455,""),IF(F455&lt;TODAY(),"Просрочено на "&amp;(TODAY()-F455)&amp;" дн.",IF(F455=TODAY(),"Сегодня",IF(F455=TODAY()+1,"Завтра","Через "&amp;(F455-TODAY())&amp;" дн.")))))</f>
        <v/>
      </c>
      <c r="L455" s="0" t="str">
        <f aca="true">IF(J455="","",(IF(AND(F455&lt;&gt;"",F455&lt;TODAY()),0,1)*10000000+IFERROR(MATCH(C455,{"Срочно","Высокий","Средний","Низкий"},0),5)*100000+IF(F455="",99999,F455))*1000+ROW())</f>
        <v/>
      </c>
      <c r="M455" s="0" t="str">
        <f aca="false">IF(AND($J455="Срочные",OR(Главная!$F$6="Все",$B455=Главная!$F$6),OR(Главная!$F$7="Все",$C455=Главная!$F$7)),$L455,"")</f>
        <v/>
      </c>
      <c r="N455" s="0" t="str">
        <f aca="false">IF(AND($J455="Текущие",OR(Главная!$F$6="Все",$B455=Главная!$F$6),OR(Главная!$F$7="Все",$C455=Главная!$F$7)),$L455,"")</f>
        <v/>
      </c>
      <c r="O455" s="0" t="str">
        <f aca="false">IF(AND($J455="Плановые",OR(Главная!$F$6="Все",$B455=Главная!$F$6),OR(Главная!$F$7="Все",$C455=Главная!$F$7)),$L455,"")</f>
        <v/>
      </c>
      <c r="P455" s="0" t="str">
        <f aca="false">IF(J455="Выполнено",ROW(),"")</f>
        <v/>
      </c>
    </row>
    <row r="456" customFormat="false" ht="21.75" hidden="false" customHeight="true" outlineLevel="0" collapsed="false">
      <c r="A456" s="31"/>
      <c r="B456" s="31"/>
      <c r="C456" s="32"/>
      <c r="D456" s="32"/>
      <c r="E456" s="33"/>
      <c r="F456" s="33"/>
      <c r="G456" s="32"/>
      <c r="H456" s="32"/>
      <c r="I456" s="31"/>
      <c r="J456" s="34" t="str">
        <f aca="true">IF(TRIM(A456)="","",IF(D456="Выполнено","Выполнено",IF(OR(C456="Срочно",AND(F456&lt;&gt;"",F456&lt;=TODAY())),"Срочные",IF(OR(D456="Отложено",C456="Низкий",AND(F456&lt;&gt;"",F456&gt;TODAY()+Справочники!$H$2)),"Плановые","Текущие"))))</f>
        <v/>
      </c>
      <c r="K456" s="35" t="str">
        <f aca="true">IF(OR(A456="",D456="Выполнено"),"",IF(F456="",IF(AND(G456&lt;&gt;"",G456&lt;&gt;"Разово"),"↻ "&amp;G456,""),IF(F456&lt;TODAY(),"Просрочено на "&amp;(TODAY()-F456)&amp;" дн.",IF(F456=TODAY(),"Сегодня",IF(F456=TODAY()+1,"Завтра","Через "&amp;(F456-TODAY())&amp;" дн.")))))</f>
        <v/>
      </c>
      <c r="L456" s="0" t="str">
        <f aca="true">IF(J456="","",(IF(AND(F456&lt;&gt;"",F456&lt;TODAY()),0,1)*10000000+IFERROR(MATCH(C456,{"Срочно","Высокий","Средний","Низкий"},0),5)*100000+IF(F456="",99999,F456))*1000+ROW())</f>
        <v/>
      </c>
      <c r="M456" s="0" t="str">
        <f aca="false">IF(AND($J456="Срочные",OR(Главная!$F$6="Все",$B456=Главная!$F$6),OR(Главная!$F$7="Все",$C456=Главная!$F$7)),$L456,"")</f>
        <v/>
      </c>
      <c r="N456" s="0" t="str">
        <f aca="false">IF(AND($J456="Текущие",OR(Главная!$F$6="Все",$B456=Главная!$F$6),OR(Главная!$F$7="Все",$C456=Главная!$F$7)),$L456,"")</f>
        <v/>
      </c>
      <c r="O456" s="0" t="str">
        <f aca="false">IF(AND($J456="Плановые",OR(Главная!$F$6="Все",$B456=Главная!$F$6),OR(Главная!$F$7="Все",$C456=Главная!$F$7)),$L456,"")</f>
        <v/>
      </c>
      <c r="P456" s="0" t="str">
        <f aca="false">IF(J456="Выполнено",ROW(),"")</f>
        <v/>
      </c>
    </row>
    <row r="457" customFormat="false" ht="21.75" hidden="false" customHeight="true" outlineLevel="0" collapsed="false">
      <c r="A457" s="31"/>
      <c r="B457" s="31"/>
      <c r="C457" s="32"/>
      <c r="D457" s="32"/>
      <c r="E457" s="33"/>
      <c r="F457" s="33"/>
      <c r="G457" s="32"/>
      <c r="H457" s="32"/>
      <c r="I457" s="31"/>
      <c r="J457" s="34" t="str">
        <f aca="true">IF(TRIM(A457)="","",IF(D457="Выполнено","Выполнено",IF(OR(C457="Срочно",AND(F457&lt;&gt;"",F457&lt;=TODAY())),"Срочные",IF(OR(D457="Отложено",C457="Низкий",AND(F457&lt;&gt;"",F457&gt;TODAY()+Справочники!$H$2)),"Плановые","Текущие"))))</f>
        <v/>
      </c>
      <c r="K457" s="35" t="str">
        <f aca="true">IF(OR(A457="",D457="Выполнено"),"",IF(F457="",IF(AND(G457&lt;&gt;"",G457&lt;&gt;"Разово"),"↻ "&amp;G457,""),IF(F457&lt;TODAY(),"Просрочено на "&amp;(TODAY()-F457)&amp;" дн.",IF(F457=TODAY(),"Сегодня",IF(F457=TODAY()+1,"Завтра","Через "&amp;(F457-TODAY())&amp;" дн.")))))</f>
        <v/>
      </c>
      <c r="L457" s="0" t="str">
        <f aca="true">IF(J457="","",(IF(AND(F457&lt;&gt;"",F457&lt;TODAY()),0,1)*10000000+IFERROR(MATCH(C457,{"Срочно","Высокий","Средний","Низкий"},0),5)*100000+IF(F457="",99999,F457))*1000+ROW())</f>
        <v/>
      </c>
      <c r="M457" s="0" t="str">
        <f aca="false">IF(AND($J457="Срочные",OR(Главная!$F$6="Все",$B457=Главная!$F$6),OR(Главная!$F$7="Все",$C457=Главная!$F$7)),$L457,"")</f>
        <v/>
      </c>
      <c r="N457" s="0" t="str">
        <f aca="false">IF(AND($J457="Текущие",OR(Главная!$F$6="Все",$B457=Главная!$F$6),OR(Главная!$F$7="Все",$C457=Главная!$F$7)),$L457,"")</f>
        <v/>
      </c>
      <c r="O457" s="0" t="str">
        <f aca="false">IF(AND($J457="Плановые",OR(Главная!$F$6="Все",$B457=Главная!$F$6),OR(Главная!$F$7="Все",$C457=Главная!$F$7)),$L457,"")</f>
        <v/>
      </c>
      <c r="P457" s="0" t="str">
        <f aca="false">IF(J457="Выполнено",ROW(),"")</f>
        <v/>
      </c>
    </row>
    <row r="458" customFormat="false" ht="21.75" hidden="false" customHeight="true" outlineLevel="0" collapsed="false">
      <c r="A458" s="31"/>
      <c r="B458" s="31"/>
      <c r="C458" s="32"/>
      <c r="D458" s="32"/>
      <c r="E458" s="33"/>
      <c r="F458" s="33"/>
      <c r="G458" s="32"/>
      <c r="H458" s="32"/>
      <c r="I458" s="31"/>
      <c r="J458" s="34" t="str">
        <f aca="true">IF(TRIM(A458)="","",IF(D458="Выполнено","Выполнено",IF(OR(C458="Срочно",AND(F458&lt;&gt;"",F458&lt;=TODAY())),"Срочные",IF(OR(D458="Отложено",C458="Низкий",AND(F458&lt;&gt;"",F458&gt;TODAY()+Справочники!$H$2)),"Плановые","Текущие"))))</f>
        <v/>
      </c>
      <c r="K458" s="35" t="str">
        <f aca="true">IF(OR(A458="",D458="Выполнено"),"",IF(F458="",IF(AND(G458&lt;&gt;"",G458&lt;&gt;"Разово"),"↻ "&amp;G458,""),IF(F458&lt;TODAY(),"Просрочено на "&amp;(TODAY()-F458)&amp;" дн.",IF(F458=TODAY(),"Сегодня",IF(F458=TODAY()+1,"Завтра","Через "&amp;(F458-TODAY())&amp;" дн.")))))</f>
        <v/>
      </c>
      <c r="L458" s="0" t="str">
        <f aca="true">IF(J458="","",(IF(AND(F458&lt;&gt;"",F458&lt;TODAY()),0,1)*10000000+IFERROR(MATCH(C458,{"Срочно","Высокий","Средний","Низкий"},0),5)*100000+IF(F458="",99999,F458))*1000+ROW())</f>
        <v/>
      </c>
      <c r="M458" s="0" t="str">
        <f aca="false">IF(AND($J458="Срочные",OR(Главная!$F$6="Все",$B458=Главная!$F$6),OR(Главная!$F$7="Все",$C458=Главная!$F$7)),$L458,"")</f>
        <v/>
      </c>
      <c r="N458" s="0" t="str">
        <f aca="false">IF(AND($J458="Текущие",OR(Главная!$F$6="Все",$B458=Главная!$F$6),OR(Главная!$F$7="Все",$C458=Главная!$F$7)),$L458,"")</f>
        <v/>
      </c>
      <c r="O458" s="0" t="str">
        <f aca="false">IF(AND($J458="Плановые",OR(Главная!$F$6="Все",$B458=Главная!$F$6),OR(Главная!$F$7="Все",$C458=Главная!$F$7)),$L458,"")</f>
        <v/>
      </c>
      <c r="P458" s="0" t="str">
        <f aca="false">IF(J458="Выполнено",ROW(),"")</f>
        <v/>
      </c>
    </row>
    <row r="459" customFormat="false" ht="21.75" hidden="false" customHeight="true" outlineLevel="0" collapsed="false">
      <c r="A459" s="31"/>
      <c r="B459" s="31"/>
      <c r="C459" s="32"/>
      <c r="D459" s="32"/>
      <c r="E459" s="33"/>
      <c r="F459" s="33"/>
      <c r="G459" s="32"/>
      <c r="H459" s="32"/>
      <c r="I459" s="31"/>
      <c r="J459" s="34" t="str">
        <f aca="true">IF(TRIM(A459)="","",IF(D459="Выполнено","Выполнено",IF(OR(C459="Срочно",AND(F459&lt;&gt;"",F459&lt;=TODAY())),"Срочные",IF(OR(D459="Отложено",C459="Низкий",AND(F459&lt;&gt;"",F459&gt;TODAY()+Справочники!$H$2)),"Плановые","Текущие"))))</f>
        <v/>
      </c>
      <c r="K459" s="35" t="str">
        <f aca="true">IF(OR(A459="",D459="Выполнено"),"",IF(F459="",IF(AND(G459&lt;&gt;"",G459&lt;&gt;"Разово"),"↻ "&amp;G459,""),IF(F459&lt;TODAY(),"Просрочено на "&amp;(TODAY()-F459)&amp;" дн.",IF(F459=TODAY(),"Сегодня",IF(F459=TODAY()+1,"Завтра","Через "&amp;(F459-TODAY())&amp;" дн.")))))</f>
        <v/>
      </c>
      <c r="L459" s="0" t="str">
        <f aca="true">IF(J459="","",(IF(AND(F459&lt;&gt;"",F459&lt;TODAY()),0,1)*10000000+IFERROR(MATCH(C459,{"Срочно","Высокий","Средний","Низкий"},0),5)*100000+IF(F459="",99999,F459))*1000+ROW())</f>
        <v/>
      </c>
      <c r="M459" s="0" t="str">
        <f aca="false">IF(AND($J459="Срочные",OR(Главная!$F$6="Все",$B459=Главная!$F$6),OR(Главная!$F$7="Все",$C459=Главная!$F$7)),$L459,"")</f>
        <v/>
      </c>
      <c r="N459" s="0" t="str">
        <f aca="false">IF(AND($J459="Текущие",OR(Главная!$F$6="Все",$B459=Главная!$F$6),OR(Главная!$F$7="Все",$C459=Главная!$F$7)),$L459,"")</f>
        <v/>
      </c>
      <c r="O459" s="0" t="str">
        <f aca="false">IF(AND($J459="Плановые",OR(Главная!$F$6="Все",$B459=Главная!$F$6),OR(Главная!$F$7="Все",$C459=Главная!$F$7)),$L459,"")</f>
        <v/>
      </c>
      <c r="P459" s="0" t="str">
        <f aca="false">IF(J459="Выполнено",ROW(),"")</f>
        <v/>
      </c>
    </row>
    <row r="460" customFormat="false" ht="21.75" hidden="false" customHeight="true" outlineLevel="0" collapsed="false">
      <c r="A460" s="31"/>
      <c r="B460" s="31"/>
      <c r="C460" s="32"/>
      <c r="D460" s="32"/>
      <c r="E460" s="33"/>
      <c r="F460" s="33"/>
      <c r="G460" s="32"/>
      <c r="H460" s="32"/>
      <c r="I460" s="31"/>
      <c r="J460" s="34" t="str">
        <f aca="true">IF(TRIM(A460)="","",IF(D460="Выполнено","Выполнено",IF(OR(C460="Срочно",AND(F460&lt;&gt;"",F460&lt;=TODAY())),"Срочные",IF(OR(D460="Отложено",C460="Низкий",AND(F460&lt;&gt;"",F460&gt;TODAY()+Справочники!$H$2)),"Плановые","Текущие"))))</f>
        <v/>
      </c>
      <c r="K460" s="35" t="str">
        <f aca="true">IF(OR(A460="",D460="Выполнено"),"",IF(F460="",IF(AND(G460&lt;&gt;"",G460&lt;&gt;"Разово"),"↻ "&amp;G460,""),IF(F460&lt;TODAY(),"Просрочено на "&amp;(TODAY()-F460)&amp;" дн.",IF(F460=TODAY(),"Сегодня",IF(F460=TODAY()+1,"Завтра","Через "&amp;(F460-TODAY())&amp;" дн.")))))</f>
        <v/>
      </c>
      <c r="L460" s="0" t="str">
        <f aca="true">IF(J460="","",(IF(AND(F460&lt;&gt;"",F460&lt;TODAY()),0,1)*10000000+IFERROR(MATCH(C460,{"Срочно","Высокий","Средний","Низкий"},0),5)*100000+IF(F460="",99999,F460))*1000+ROW())</f>
        <v/>
      </c>
      <c r="M460" s="0" t="str">
        <f aca="false">IF(AND($J460="Срочные",OR(Главная!$F$6="Все",$B460=Главная!$F$6),OR(Главная!$F$7="Все",$C460=Главная!$F$7)),$L460,"")</f>
        <v/>
      </c>
      <c r="N460" s="0" t="str">
        <f aca="false">IF(AND($J460="Текущие",OR(Главная!$F$6="Все",$B460=Главная!$F$6),OR(Главная!$F$7="Все",$C460=Главная!$F$7)),$L460,"")</f>
        <v/>
      </c>
      <c r="O460" s="0" t="str">
        <f aca="false">IF(AND($J460="Плановые",OR(Главная!$F$6="Все",$B460=Главная!$F$6),OR(Главная!$F$7="Все",$C460=Главная!$F$7)),$L460,"")</f>
        <v/>
      </c>
      <c r="P460" s="0" t="str">
        <f aca="false">IF(J460="Выполнено",ROW(),"")</f>
        <v/>
      </c>
    </row>
    <row r="461" customFormat="false" ht="21.75" hidden="false" customHeight="true" outlineLevel="0" collapsed="false">
      <c r="A461" s="31"/>
      <c r="B461" s="31"/>
      <c r="C461" s="32"/>
      <c r="D461" s="32"/>
      <c r="E461" s="33"/>
      <c r="F461" s="33"/>
      <c r="G461" s="32"/>
      <c r="H461" s="32"/>
      <c r="I461" s="31"/>
      <c r="J461" s="34" t="str">
        <f aca="true">IF(TRIM(A461)="","",IF(D461="Выполнено","Выполнено",IF(OR(C461="Срочно",AND(F461&lt;&gt;"",F461&lt;=TODAY())),"Срочные",IF(OR(D461="Отложено",C461="Низкий",AND(F461&lt;&gt;"",F461&gt;TODAY()+Справочники!$H$2)),"Плановые","Текущие"))))</f>
        <v/>
      </c>
      <c r="K461" s="35" t="str">
        <f aca="true">IF(OR(A461="",D461="Выполнено"),"",IF(F461="",IF(AND(G461&lt;&gt;"",G461&lt;&gt;"Разово"),"↻ "&amp;G461,""),IF(F461&lt;TODAY(),"Просрочено на "&amp;(TODAY()-F461)&amp;" дн.",IF(F461=TODAY(),"Сегодня",IF(F461=TODAY()+1,"Завтра","Через "&amp;(F461-TODAY())&amp;" дн.")))))</f>
        <v/>
      </c>
      <c r="L461" s="0" t="str">
        <f aca="true">IF(J461="","",(IF(AND(F461&lt;&gt;"",F461&lt;TODAY()),0,1)*10000000+IFERROR(MATCH(C461,{"Срочно","Высокий","Средний","Низкий"},0),5)*100000+IF(F461="",99999,F461))*1000+ROW())</f>
        <v/>
      </c>
      <c r="M461" s="0" t="str">
        <f aca="false">IF(AND($J461="Срочные",OR(Главная!$F$6="Все",$B461=Главная!$F$6),OR(Главная!$F$7="Все",$C461=Главная!$F$7)),$L461,"")</f>
        <v/>
      </c>
      <c r="N461" s="0" t="str">
        <f aca="false">IF(AND($J461="Текущие",OR(Главная!$F$6="Все",$B461=Главная!$F$6),OR(Главная!$F$7="Все",$C461=Главная!$F$7)),$L461,"")</f>
        <v/>
      </c>
      <c r="O461" s="0" t="str">
        <f aca="false">IF(AND($J461="Плановые",OR(Главная!$F$6="Все",$B461=Главная!$F$6),OR(Главная!$F$7="Все",$C461=Главная!$F$7)),$L461,"")</f>
        <v/>
      </c>
      <c r="P461" s="0" t="str">
        <f aca="false">IF(J461="Выполнено",ROW(),"")</f>
        <v/>
      </c>
    </row>
    <row r="462" customFormat="false" ht="21.75" hidden="false" customHeight="true" outlineLevel="0" collapsed="false">
      <c r="A462" s="31"/>
      <c r="B462" s="31"/>
      <c r="C462" s="32"/>
      <c r="D462" s="32"/>
      <c r="E462" s="33"/>
      <c r="F462" s="33"/>
      <c r="G462" s="32"/>
      <c r="H462" s="32"/>
      <c r="I462" s="31"/>
      <c r="J462" s="34" t="str">
        <f aca="true">IF(TRIM(A462)="","",IF(D462="Выполнено","Выполнено",IF(OR(C462="Срочно",AND(F462&lt;&gt;"",F462&lt;=TODAY())),"Срочные",IF(OR(D462="Отложено",C462="Низкий",AND(F462&lt;&gt;"",F462&gt;TODAY()+Справочники!$H$2)),"Плановые","Текущие"))))</f>
        <v/>
      </c>
      <c r="K462" s="35" t="str">
        <f aca="true">IF(OR(A462="",D462="Выполнено"),"",IF(F462="",IF(AND(G462&lt;&gt;"",G462&lt;&gt;"Разово"),"↻ "&amp;G462,""),IF(F462&lt;TODAY(),"Просрочено на "&amp;(TODAY()-F462)&amp;" дн.",IF(F462=TODAY(),"Сегодня",IF(F462=TODAY()+1,"Завтра","Через "&amp;(F462-TODAY())&amp;" дн.")))))</f>
        <v/>
      </c>
      <c r="L462" s="0" t="str">
        <f aca="true">IF(J462="","",(IF(AND(F462&lt;&gt;"",F462&lt;TODAY()),0,1)*10000000+IFERROR(MATCH(C462,{"Срочно","Высокий","Средний","Низкий"},0),5)*100000+IF(F462="",99999,F462))*1000+ROW())</f>
        <v/>
      </c>
      <c r="M462" s="0" t="str">
        <f aca="false">IF(AND($J462="Срочные",OR(Главная!$F$6="Все",$B462=Главная!$F$6),OR(Главная!$F$7="Все",$C462=Главная!$F$7)),$L462,"")</f>
        <v/>
      </c>
      <c r="N462" s="0" t="str">
        <f aca="false">IF(AND($J462="Текущие",OR(Главная!$F$6="Все",$B462=Главная!$F$6),OR(Главная!$F$7="Все",$C462=Главная!$F$7)),$L462,"")</f>
        <v/>
      </c>
      <c r="O462" s="0" t="str">
        <f aca="false">IF(AND($J462="Плановые",OR(Главная!$F$6="Все",$B462=Главная!$F$6),OR(Главная!$F$7="Все",$C462=Главная!$F$7)),$L462,"")</f>
        <v/>
      </c>
      <c r="P462" s="0" t="str">
        <f aca="false">IF(J462="Выполнено",ROW(),"")</f>
        <v/>
      </c>
    </row>
    <row r="463" customFormat="false" ht="21.75" hidden="false" customHeight="true" outlineLevel="0" collapsed="false">
      <c r="A463" s="31"/>
      <c r="B463" s="31"/>
      <c r="C463" s="32"/>
      <c r="D463" s="32"/>
      <c r="E463" s="33"/>
      <c r="F463" s="33"/>
      <c r="G463" s="32"/>
      <c r="H463" s="32"/>
      <c r="I463" s="31"/>
      <c r="J463" s="34" t="str">
        <f aca="true">IF(TRIM(A463)="","",IF(D463="Выполнено","Выполнено",IF(OR(C463="Срочно",AND(F463&lt;&gt;"",F463&lt;=TODAY())),"Срочные",IF(OR(D463="Отложено",C463="Низкий",AND(F463&lt;&gt;"",F463&gt;TODAY()+Справочники!$H$2)),"Плановые","Текущие"))))</f>
        <v/>
      </c>
      <c r="K463" s="35" t="str">
        <f aca="true">IF(OR(A463="",D463="Выполнено"),"",IF(F463="",IF(AND(G463&lt;&gt;"",G463&lt;&gt;"Разово"),"↻ "&amp;G463,""),IF(F463&lt;TODAY(),"Просрочено на "&amp;(TODAY()-F463)&amp;" дн.",IF(F463=TODAY(),"Сегодня",IF(F463=TODAY()+1,"Завтра","Через "&amp;(F463-TODAY())&amp;" дн.")))))</f>
        <v/>
      </c>
      <c r="L463" s="0" t="str">
        <f aca="true">IF(J463="","",(IF(AND(F463&lt;&gt;"",F463&lt;TODAY()),0,1)*10000000+IFERROR(MATCH(C463,{"Срочно","Высокий","Средний","Низкий"},0),5)*100000+IF(F463="",99999,F463))*1000+ROW())</f>
        <v/>
      </c>
      <c r="M463" s="0" t="str">
        <f aca="false">IF(AND($J463="Срочные",OR(Главная!$F$6="Все",$B463=Главная!$F$6),OR(Главная!$F$7="Все",$C463=Главная!$F$7)),$L463,"")</f>
        <v/>
      </c>
      <c r="N463" s="0" t="str">
        <f aca="false">IF(AND($J463="Текущие",OR(Главная!$F$6="Все",$B463=Главная!$F$6),OR(Главная!$F$7="Все",$C463=Главная!$F$7)),$L463,"")</f>
        <v/>
      </c>
      <c r="O463" s="0" t="str">
        <f aca="false">IF(AND($J463="Плановые",OR(Главная!$F$6="Все",$B463=Главная!$F$6),OR(Главная!$F$7="Все",$C463=Главная!$F$7)),$L463,"")</f>
        <v/>
      </c>
      <c r="P463" s="0" t="str">
        <f aca="false">IF(J463="Выполнено",ROW(),"")</f>
        <v/>
      </c>
    </row>
    <row r="464" customFormat="false" ht="21.75" hidden="false" customHeight="true" outlineLevel="0" collapsed="false">
      <c r="A464" s="31"/>
      <c r="B464" s="31"/>
      <c r="C464" s="32"/>
      <c r="D464" s="32"/>
      <c r="E464" s="33"/>
      <c r="F464" s="33"/>
      <c r="G464" s="32"/>
      <c r="H464" s="32"/>
      <c r="I464" s="31"/>
      <c r="J464" s="34" t="str">
        <f aca="true">IF(TRIM(A464)="","",IF(D464="Выполнено","Выполнено",IF(OR(C464="Срочно",AND(F464&lt;&gt;"",F464&lt;=TODAY())),"Срочные",IF(OR(D464="Отложено",C464="Низкий",AND(F464&lt;&gt;"",F464&gt;TODAY()+Справочники!$H$2)),"Плановые","Текущие"))))</f>
        <v/>
      </c>
      <c r="K464" s="35" t="str">
        <f aca="true">IF(OR(A464="",D464="Выполнено"),"",IF(F464="",IF(AND(G464&lt;&gt;"",G464&lt;&gt;"Разово"),"↻ "&amp;G464,""),IF(F464&lt;TODAY(),"Просрочено на "&amp;(TODAY()-F464)&amp;" дн.",IF(F464=TODAY(),"Сегодня",IF(F464=TODAY()+1,"Завтра","Через "&amp;(F464-TODAY())&amp;" дн.")))))</f>
        <v/>
      </c>
      <c r="L464" s="0" t="str">
        <f aca="true">IF(J464="","",(IF(AND(F464&lt;&gt;"",F464&lt;TODAY()),0,1)*10000000+IFERROR(MATCH(C464,{"Срочно","Высокий","Средний","Низкий"},0),5)*100000+IF(F464="",99999,F464))*1000+ROW())</f>
        <v/>
      </c>
      <c r="M464" s="0" t="str">
        <f aca="false">IF(AND($J464="Срочные",OR(Главная!$F$6="Все",$B464=Главная!$F$6),OR(Главная!$F$7="Все",$C464=Главная!$F$7)),$L464,"")</f>
        <v/>
      </c>
      <c r="N464" s="0" t="str">
        <f aca="false">IF(AND($J464="Текущие",OR(Главная!$F$6="Все",$B464=Главная!$F$6),OR(Главная!$F$7="Все",$C464=Главная!$F$7)),$L464,"")</f>
        <v/>
      </c>
      <c r="O464" s="0" t="str">
        <f aca="false">IF(AND($J464="Плановые",OR(Главная!$F$6="Все",$B464=Главная!$F$6),OR(Главная!$F$7="Все",$C464=Главная!$F$7)),$L464,"")</f>
        <v/>
      </c>
      <c r="P464" s="0" t="str">
        <f aca="false">IF(J464="Выполнено",ROW(),"")</f>
        <v/>
      </c>
    </row>
    <row r="465" customFormat="false" ht="21.75" hidden="false" customHeight="true" outlineLevel="0" collapsed="false">
      <c r="A465" s="31"/>
      <c r="B465" s="31"/>
      <c r="C465" s="32"/>
      <c r="D465" s="32"/>
      <c r="E465" s="33"/>
      <c r="F465" s="33"/>
      <c r="G465" s="32"/>
      <c r="H465" s="32"/>
      <c r="I465" s="31"/>
      <c r="J465" s="34" t="str">
        <f aca="true">IF(TRIM(A465)="","",IF(D465="Выполнено","Выполнено",IF(OR(C465="Срочно",AND(F465&lt;&gt;"",F465&lt;=TODAY())),"Срочные",IF(OR(D465="Отложено",C465="Низкий",AND(F465&lt;&gt;"",F465&gt;TODAY()+Справочники!$H$2)),"Плановые","Текущие"))))</f>
        <v/>
      </c>
      <c r="K465" s="35" t="str">
        <f aca="true">IF(OR(A465="",D465="Выполнено"),"",IF(F465="",IF(AND(G465&lt;&gt;"",G465&lt;&gt;"Разово"),"↻ "&amp;G465,""),IF(F465&lt;TODAY(),"Просрочено на "&amp;(TODAY()-F465)&amp;" дн.",IF(F465=TODAY(),"Сегодня",IF(F465=TODAY()+1,"Завтра","Через "&amp;(F465-TODAY())&amp;" дн.")))))</f>
        <v/>
      </c>
      <c r="L465" s="0" t="str">
        <f aca="true">IF(J465="","",(IF(AND(F465&lt;&gt;"",F465&lt;TODAY()),0,1)*10000000+IFERROR(MATCH(C465,{"Срочно","Высокий","Средний","Низкий"},0),5)*100000+IF(F465="",99999,F465))*1000+ROW())</f>
        <v/>
      </c>
      <c r="M465" s="0" t="str">
        <f aca="false">IF(AND($J465="Срочные",OR(Главная!$F$6="Все",$B465=Главная!$F$6),OR(Главная!$F$7="Все",$C465=Главная!$F$7)),$L465,"")</f>
        <v/>
      </c>
      <c r="N465" s="0" t="str">
        <f aca="false">IF(AND($J465="Текущие",OR(Главная!$F$6="Все",$B465=Главная!$F$6),OR(Главная!$F$7="Все",$C465=Главная!$F$7)),$L465,"")</f>
        <v/>
      </c>
      <c r="O465" s="0" t="str">
        <f aca="false">IF(AND($J465="Плановые",OR(Главная!$F$6="Все",$B465=Главная!$F$6),OR(Главная!$F$7="Все",$C465=Главная!$F$7)),$L465,"")</f>
        <v/>
      </c>
      <c r="P465" s="0" t="str">
        <f aca="false">IF(J465="Выполнено",ROW(),"")</f>
        <v/>
      </c>
    </row>
    <row r="466" customFormat="false" ht="21.75" hidden="false" customHeight="true" outlineLevel="0" collapsed="false">
      <c r="A466" s="31"/>
      <c r="B466" s="31"/>
      <c r="C466" s="32"/>
      <c r="D466" s="32"/>
      <c r="E466" s="33"/>
      <c r="F466" s="33"/>
      <c r="G466" s="32"/>
      <c r="H466" s="32"/>
      <c r="I466" s="31"/>
      <c r="J466" s="34" t="str">
        <f aca="true">IF(TRIM(A466)="","",IF(D466="Выполнено","Выполнено",IF(OR(C466="Срочно",AND(F466&lt;&gt;"",F466&lt;=TODAY())),"Срочные",IF(OR(D466="Отложено",C466="Низкий",AND(F466&lt;&gt;"",F466&gt;TODAY()+Справочники!$H$2)),"Плановые","Текущие"))))</f>
        <v/>
      </c>
      <c r="K466" s="35" t="str">
        <f aca="true">IF(OR(A466="",D466="Выполнено"),"",IF(F466="",IF(AND(G466&lt;&gt;"",G466&lt;&gt;"Разово"),"↻ "&amp;G466,""),IF(F466&lt;TODAY(),"Просрочено на "&amp;(TODAY()-F466)&amp;" дн.",IF(F466=TODAY(),"Сегодня",IF(F466=TODAY()+1,"Завтра","Через "&amp;(F466-TODAY())&amp;" дн.")))))</f>
        <v/>
      </c>
      <c r="L466" s="0" t="str">
        <f aca="true">IF(J466="","",(IF(AND(F466&lt;&gt;"",F466&lt;TODAY()),0,1)*10000000+IFERROR(MATCH(C466,{"Срочно","Высокий","Средний","Низкий"},0),5)*100000+IF(F466="",99999,F466))*1000+ROW())</f>
        <v/>
      </c>
      <c r="M466" s="0" t="str">
        <f aca="false">IF(AND($J466="Срочные",OR(Главная!$F$6="Все",$B466=Главная!$F$6),OR(Главная!$F$7="Все",$C466=Главная!$F$7)),$L466,"")</f>
        <v/>
      </c>
      <c r="N466" s="0" t="str">
        <f aca="false">IF(AND($J466="Текущие",OR(Главная!$F$6="Все",$B466=Главная!$F$6),OR(Главная!$F$7="Все",$C466=Главная!$F$7)),$L466,"")</f>
        <v/>
      </c>
      <c r="O466" s="0" t="str">
        <f aca="false">IF(AND($J466="Плановые",OR(Главная!$F$6="Все",$B466=Главная!$F$6),OR(Главная!$F$7="Все",$C466=Главная!$F$7)),$L466,"")</f>
        <v/>
      </c>
      <c r="P466" s="0" t="str">
        <f aca="false">IF(J466="Выполнено",ROW(),"")</f>
        <v/>
      </c>
    </row>
    <row r="467" customFormat="false" ht="21.75" hidden="false" customHeight="true" outlineLevel="0" collapsed="false">
      <c r="A467" s="31"/>
      <c r="B467" s="31"/>
      <c r="C467" s="32"/>
      <c r="D467" s="32"/>
      <c r="E467" s="33"/>
      <c r="F467" s="33"/>
      <c r="G467" s="32"/>
      <c r="H467" s="32"/>
      <c r="I467" s="31"/>
      <c r="J467" s="34" t="str">
        <f aca="true">IF(TRIM(A467)="","",IF(D467="Выполнено","Выполнено",IF(OR(C467="Срочно",AND(F467&lt;&gt;"",F467&lt;=TODAY())),"Срочные",IF(OR(D467="Отложено",C467="Низкий",AND(F467&lt;&gt;"",F467&gt;TODAY()+Справочники!$H$2)),"Плановые","Текущие"))))</f>
        <v/>
      </c>
      <c r="K467" s="35" t="str">
        <f aca="true">IF(OR(A467="",D467="Выполнено"),"",IF(F467="",IF(AND(G467&lt;&gt;"",G467&lt;&gt;"Разово"),"↻ "&amp;G467,""),IF(F467&lt;TODAY(),"Просрочено на "&amp;(TODAY()-F467)&amp;" дн.",IF(F467=TODAY(),"Сегодня",IF(F467=TODAY()+1,"Завтра","Через "&amp;(F467-TODAY())&amp;" дн.")))))</f>
        <v/>
      </c>
      <c r="L467" s="0" t="str">
        <f aca="true">IF(J467="","",(IF(AND(F467&lt;&gt;"",F467&lt;TODAY()),0,1)*10000000+IFERROR(MATCH(C467,{"Срочно","Высокий","Средний","Низкий"},0),5)*100000+IF(F467="",99999,F467))*1000+ROW())</f>
        <v/>
      </c>
      <c r="M467" s="0" t="str">
        <f aca="false">IF(AND($J467="Срочные",OR(Главная!$F$6="Все",$B467=Главная!$F$6),OR(Главная!$F$7="Все",$C467=Главная!$F$7)),$L467,"")</f>
        <v/>
      </c>
      <c r="N467" s="0" t="str">
        <f aca="false">IF(AND($J467="Текущие",OR(Главная!$F$6="Все",$B467=Главная!$F$6),OR(Главная!$F$7="Все",$C467=Главная!$F$7)),$L467,"")</f>
        <v/>
      </c>
      <c r="O467" s="0" t="str">
        <f aca="false">IF(AND($J467="Плановые",OR(Главная!$F$6="Все",$B467=Главная!$F$6),OR(Главная!$F$7="Все",$C467=Главная!$F$7)),$L467,"")</f>
        <v/>
      </c>
      <c r="P467" s="0" t="str">
        <f aca="false">IF(J467="Выполнено",ROW(),"")</f>
        <v/>
      </c>
    </row>
    <row r="468" customFormat="false" ht="21.75" hidden="false" customHeight="true" outlineLevel="0" collapsed="false">
      <c r="A468" s="31"/>
      <c r="B468" s="31"/>
      <c r="C468" s="32"/>
      <c r="D468" s="32"/>
      <c r="E468" s="33"/>
      <c r="F468" s="33"/>
      <c r="G468" s="32"/>
      <c r="H468" s="32"/>
      <c r="I468" s="31"/>
      <c r="J468" s="34" t="str">
        <f aca="true">IF(TRIM(A468)="","",IF(D468="Выполнено","Выполнено",IF(OR(C468="Срочно",AND(F468&lt;&gt;"",F468&lt;=TODAY())),"Срочные",IF(OR(D468="Отложено",C468="Низкий",AND(F468&lt;&gt;"",F468&gt;TODAY()+Справочники!$H$2)),"Плановые","Текущие"))))</f>
        <v/>
      </c>
      <c r="K468" s="35" t="str">
        <f aca="true">IF(OR(A468="",D468="Выполнено"),"",IF(F468="",IF(AND(G468&lt;&gt;"",G468&lt;&gt;"Разово"),"↻ "&amp;G468,""),IF(F468&lt;TODAY(),"Просрочено на "&amp;(TODAY()-F468)&amp;" дн.",IF(F468=TODAY(),"Сегодня",IF(F468=TODAY()+1,"Завтра","Через "&amp;(F468-TODAY())&amp;" дн.")))))</f>
        <v/>
      </c>
      <c r="L468" s="0" t="str">
        <f aca="true">IF(J468="","",(IF(AND(F468&lt;&gt;"",F468&lt;TODAY()),0,1)*10000000+IFERROR(MATCH(C468,{"Срочно","Высокий","Средний","Низкий"},0),5)*100000+IF(F468="",99999,F468))*1000+ROW())</f>
        <v/>
      </c>
      <c r="M468" s="0" t="str">
        <f aca="false">IF(AND($J468="Срочные",OR(Главная!$F$6="Все",$B468=Главная!$F$6),OR(Главная!$F$7="Все",$C468=Главная!$F$7)),$L468,"")</f>
        <v/>
      </c>
      <c r="N468" s="0" t="str">
        <f aca="false">IF(AND($J468="Текущие",OR(Главная!$F$6="Все",$B468=Главная!$F$6),OR(Главная!$F$7="Все",$C468=Главная!$F$7)),$L468,"")</f>
        <v/>
      </c>
      <c r="O468" s="0" t="str">
        <f aca="false">IF(AND($J468="Плановые",OR(Главная!$F$6="Все",$B468=Главная!$F$6),OR(Главная!$F$7="Все",$C468=Главная!$F$7)),$L468,"")</f>
        <v/>
      </c>
      <c r="P468" s="0" t="str">
        <f aca="false">IF(J468="Выполнено",ROW(),"")</f>
        <v/>
      </c>
    </row>
    <row r="469" customFormat="false" ht="21.75" hidden="false" customHeight="true" outlineLevel="0" collapsed="false">
      <c r="A469" s="31"/>
      <c r="B469" s="31"/>
      <c r="C469" s="32"/>
      <c r="D469" s="32"/>
      <c r="E469" s="33"/>
      <c r="F469" s="33"/>
      <c r="G469" s="32"/>
      <c r="H469" s="32"/>
      <c r="I469" s="31"/>
      <c r="J469" s="34" t="str">
        <f aca="true">IF(TRIM(A469)="","",IF(D469="Выполнено","Выполнено",IF(OR(C469="Срочно",AND(F469&lt;&gt;"",F469&lt;=TODAY())),"Срочные",IF(OR(D469="Отложено",C469="Низкий",AND(F469&lt;&gt;"",F469&gt;TODAY()+Справочники!$H$2)),"Плановые","Текущие"))))</f>
        <v/>
      </c>
      <c r="K469" s="35" t="str">
        <f aca="true">IF(OR(A469="",D469="Выполнено"),"",IF(F469="",IF(AND(G469&lt;&gt;"",G469&lt;&gt;"Разово"),"↻ "&amp;G469,""),IF(F469&lt;TODAY(),"Просрочено на "&amp;(TODAY()-F469)&amp;" дн.",IF(F469=TODAY(),"Сегодня",IF(F469=TODAY()+1,"Завтра","Через "&amp;(F469-TODAY())&amp;" дн.")))))</f>
        <v/>
      </c>
      <c r="L469" s="0" t="str">
        <f aca="true">IF(J469="","",(IF(AND(F469&lt;&gt;"",F469&lt;TODAY()),0,1)*10000000+IFERROR(MATCH(C469,{"Срочно","Высокий","Средний","Низкий"},0),5)*100000+IF(F469="",99999,F469))*1000+ROW())</f>
        <v/>
      </c>
      <c r="M469" s="0" t="str">
        <f aca="false">IF(AND($J469="Срочные",OR(Главная!$F$6="Все",$B469=Главная!$F$6),OR(Главная!$F$7="Все",$C469=Главная!$F$7)),$L469,"")</f>
        <v/>
      </c>
      <c r="N469" s="0" t="str">
        <f aca="false">IF(AND($J469="Текущие",OR(Главная!$F$6="Все",$B469=Главная!$F$6),OR(Главная!$F$7="Все",$C469=Главная!$F$7)),$L469,"")</f>
        <v/>
      </c>
      <c r="O469" s="0" t="str">
        <f aca="false">IF(AND($J469="Плановые",OR(Главная!$F$6="Все",$B469=Главная!$F$6),OR(Главная!$F$7="Все",$C469=Главная!$F$7)),$L469,"")</f>
        <v/>
      </c>
      <c r="P469" s="0" t="str">
        <f aca="false">IF(J469="Выполнено",ROW(),"")</f>
        <v/>
      </c>
    </row>
    <row r="470" customFormat="false" ht="21.75" hidden="false" customHeight="true" outlineLevel="0" collapsed="false">
      <c r="A470" s="31"/>
      <c r="B470" s="31"/>
      <c r="C470" s="32"/>
      <c r="D470" s="32"/>
      <c r="E470" s="33"/>
      <c r="F470" s="33"/>
      <c r="G470" s="32"/>
      <c r="H470" s="32"/>
      <c r="I470" s="31"/>
      <c r="J470" s="34" t="str">
        <f aca="true">IF(TRIM(A470)="","",IF(D470="Выполнено","Выполнено",IF(OR(C470="Срочно",AND(F470&lt;&gt;"",F470&lt;=TODAY())),"Срочные",IF(OR(D470="Отложено",C470="Низкий",AND(F470&lt;&gt;"",F470&gt;TODAY()+Справочники!$H$2)),"Плановые","Текущие"))))</f>
        <v/>
      </c>
      <c r="K470" s="35" t="str">
        <f aca="true">IF(OR(A470="",D470="Выполнено"),"",IF(F470="",IF(AND(G470&lt;&gt;"",G470&lt;&gt;"Разово"),"↻ "&amp;G470,""),IF(F470&lt;TODAY(),"Просрочено на "&amp;(TODAY()-F470)&amp;" дн.",IF(F470=TODAY(),"Сегодня",IF(F470=TODAY()+1,"Завтра","Через "&amp;(F470-TODAY())&amp;" дн.")))))</f>
        <v/>
      </c>
      <c r="L470" s="0" t="str">
        <f aca="true">IF(J470="","",(IF(AND(F470&lt;&gt;"",F470&lt;TODAY()),0,1)*10000000+IFERROR(MATCH(C470,{"Срочно","Высокий","Средний","Низкий"},0),5)*100000+IF(F470="",99999,F470))*1000+ROW())</f>
        <v/>
      </c>
      <c r="M470" s="0" t="str">
        <f aca="false">IF(AND($J470="Срочные",OR(Главная!$F$6="Все",$B470=Главная!$F$6),OR(Главная!$F$7="Все",$C470=Главная!$F$7)),$L470,"")</f>
        <v/>
      </c>
      <c r="N470" s="0" t="str">
        <f aca="false">IF(AND($J470="Текущие",OR(Главная!$F$6="Все",$B470=Главная!$F$6),OR(Главная!$F$7="Все",$C470=Главная!$F$7)),$L470,"")</f>
        <v/>
      </c>
      <c r="O470" s="0" t="str">
        <f aca="false">IF(AND($J470="Плановые",OR(Главная!$F$6="Все",$B470=Главная!$F$6),OR(Главная!$F$7="Все",$C470=Главная!$F$7)),$L470,"")</f>
        <v/>
      </c>
      <c r="P470" s="0" t="str">
        <f aca="false">IF(J470="Выполнено",ROW(),"")</f>
        <v/>
      </c>
    </row>
    <row r="471" customFormat="false" ht="21.75" hidden="false" customHeight="true" outlineLevel="0" collapsed="false">
      <c r="A471" s="31"/>
      <c r="B471" s="31"/>
      <c r="C471" s="32"/>
      <c r="D471" s="32"/>
      <c r="E471" s="33"/>
      <c r="F471" s="33"/>
      <c r="G471" s="32"/>
      <c r="H471" s="32"/>
      <c r="I471" s="31"/>
      <c r="J471" s="34" t="str">
        <f aca="true">IF(TRIM(A471)="","",IF(D471="Выполнено","Выполнено",IF(OR(C471="Срочно",AND(F471&lt;&gt;"",F471&lt;=TODAY())),"Срочные",IF(OR(D471="Отложено",C471="Низкий",AND(F471&lt;&gt;"",F471&gt;TODAY()+Справочники!$H$2)),"Плановые","Текущие"))))</f>
        <v/>
      </c>
      <c r="K471" s="35" t="str">
        <f aca="true">IF(OR(A471="",D471="Выполнено"),"",IF(F471="",IF(AND(G471&lt;&gt;"",G471&lt;&gt;"Разово"),"↻ "&amp;G471,""),IF(F471&lt;TODAY(),"Просрочено на "&amp;(TODAY()-F471)&amp;" дн.",IF(F471=TODAY(),"Сегодня",IF(F471=TODAY()+1,"Завтра","Через "&amp;(F471-TODAY())&amp;" дн.")))))</f>
        <v/>
      </c>
      <c r="L471" s="0" t="str">
        <f aca="true">IF(J471="","",(IF(AND(F471&lt;&gt;"",F471&lt;TODAY()),0,1)*10000000+IFERROR(MATCH(C471,{"Срочно","Высокий","Средний","Низкий"},0),5)*100000+IF(F471="",99999,F471))*1000+ROW())</f>
        <v/>
      </c>
      <c r="M471" s="0" t="str">
        <f aca="false">IF(AND($J471="Срочные",OR(Главная!$F$6="Все",$B471=Главная!$F$6),OR(Главная!$F$7="Все",$C471=Главная!$F$7)),$L471,"")</f>
        <v/>
      </c>
      <c r="N471" s="0" t="str">
        <f aca="false">IF(AND($J471="Текущие",OR(Главная!$F$6="Все",$B471=Главная!$F$6),OR(Главная!$F$7="Все",$C471=Главная!$F$7)),$L471,"")</f>
        <v/>
      </c>
      <c r="O471" s="0" t="str">
        <f aca="false">IF(AND($J471="Плановые",OR(Главная!$F$6="Все",$B471=Главная!$F$6),OR(Главная!$F$7="Все",$C471=Главная!$F$7)),$L471,"")</f>
        <v/>
      </c>
      <c r="P471" s="0" t="str">
        <f aca="false">IF(J471="Выполнено",ROW(),"")</f>
        <v/>
      </c>
    </row>
    <row r="472" customFormat="false" ht="21.75" hidden="false" customHeight="true" outlineLevel="0" collapsed="false">
      <c r="A472" s="31"/>
      <c r="B472" s="31"/>
      <c r="C472" s="32"/>
      <c r="D472" s="32"/>
      <c r="E472" s="33"/>
      <c r="F472" s="33"/>
      <c r="G472" s="32"/>
      <c r="H472" s="32"/>
      <c r="I472" s="31"/>
      <c r="J472" s="34" t="str">
        <f aca="true">IF(TRIM(A472)="","",IF(D472="Выполнено","Выполнено",IF(OR(C472="Срочно",AND(F472&lt;&gt;"",F472&lt;=TODAY())),"Срочные",IF(OR(D472="Отложено",C472="Низкий",AND(F472&lt;&gt;"",F472&gt;TODAY()+Справочники!$H$2)),"Плановые","Текущие"))))</f>
        <v/>
      </c>
      <c r="K472" s="35" t="str">
        <f aca="true">IF(OR(A472="",D472="Выполнено"),"",IF(F472="",IF(AND(G472&lt;&gt;"",G472&lt;&gt;"Разово"),"↻ "&amp;G472,""),IF(F472&lt;TODAY(),"Просрочено на "&amp;(TODAY()-F472)&amp;" дн.",IF(F472=TODAY(),"Сегодня",IF(F472=TODAY()+1,"Завтра","Через "&amp;(F472-TODAY())&amp;" дн.")))))</f>
        <v/>
      </c>
      <c r="L472" s="0" t="str">
        <f aca="true">IF(J472="","",(IF(AND(F472&lt;&gt;"",F472&lt;TODAY()),0,1)*10000000+IFERROR(MATCH(C472,{"Срочно","Высокий","Средний","Низкий"},0),5)*100000+IF(F472="",99999,F472))*1000+ROW())</f>
        <v/>
      </c>
      <c r="M472" s="0" t="str">
        <f aca="false">IF(AND($J472="Срочные",OR(Главная!$F$6="Все",$B472=Главная!$F$6),OR(Главная!$F$7="Все",$C472=Главная!$F$7)),$L472,"")</f>
        <v/>
      </c>
      <c r="N472" s="0" t="str">
        <f aca="false">IF(AND($J472="Текущие",OR(Главная!$F$6="Все",$B472=Главная!$F$6),OR(Главная!$F$7="Все",$C472=Главная!$F$7)),$L472,"")</f>
        <v/>
      </c>
      <c r="O472" s="0" t="str">
        <f aca="false">IF(AND($J472="Плановые",OR(Главная!$F$6="Все",$B472=Главная!$F$6),OR(Главная!$F$7="Все",$C472=Главная!$F$7)),$L472,"")</f>
        <v/>
      </c>
      <c r="P472" s="0" t="str">
        <f aca="false">IF(J472="Выполнено",ROW(),"")</f>
        <v/>
      </c>
    </row>
    <row r="473" customFormat="false" ht="21.75" hidden="false" customHeight="true" outlineLevel="0" collapsed="false">
      <c r="A473" s="31"/>
      <c r="B473" s="31"/>
      <c r="C473" s="32"/>
      <c r="D473" s="32"/>
      <c r="E473" s="33"/>
      <c r="F473" s="33"/>
      <c r="G473" s="32"/>
      <c r="H473" s="32"/>
      <c r="I473" s="31"/>
      <c r="J473" s="34" t="str">
        <f aca="true">IF(TRIM(A473)="","",IF(D473="Выполнено","Выполнено",IF(OR(C473="Срочно",AND(F473&lt;&gt;"",F473&lt;=TODAY())),"Срочные",IF(OR(D473="Отложено",C473="Низкий",AND(F473&lt;&gt;"",F473&gt;TODAY()+Справочники!$H$2)),"Плановые","Текущие"))))</f>
        <v/>
      </c>
      <c r="K473" s="35" t="str">
        <f aca="true">IF(OR(A473="",D473="Выполнено"),"",IF(F473="",IF(AND(G473&lt;&gt;"",G473&lt;&gt;"Разово"),"↻ "&amp;G473,""),IF(F473&lt;TODAY(),"Просрочено на "&amp;(TODAY()-F473)&amp;" дн.",IF(F473=TODAY(),"Сегодня",IF(F473=TODAY()+1,"Завтра","Через "&amp;(F473-TODAY())&amp;" дн.")))))</f>
        <v/>
      </c>
      <c r="L473" s="0" t="str">
        <f aca="true">IF(J473="","",(IF(AND(F473&lt;&gt;"",F473&lt;TODAY()),0,1)*10000000+IFERROR(MATCH(C473,{"Срочно","Высокий","Средний","Низкий"},0),5)*100000+IF(F473="",99999,F473))*1000+ROW())</f>
        <v/>
      </c>
      <c r="M473" s="0" t="str">
        <f aca="false">IF(AND($J473="Срочные",OR(Главная!$F$6="Все",$B473=Главная!$F$6),OR(Главная!$F$7="Все",$C473=Главная!$F$7)),$L473,"")</f>
        <v/>
      </c>
      <c r="N473" s="0" t="str">
        <f aca="false">IF(AND($J473="Текущие",OR(Главная!$F$6="Все",$B473=Главная!$F$6),OR(Главная!$F$7="Все",$C473=Главная!$F$7)),$L473,"")</f>
        <v/>
      </c>
      <c r="O473" s="0" t="str">
        <f aca="false">IF(AND($J473="Плановые",OR(Главная!$F$6="Все",$B473=Главная!$F$6),OR(Главная!$F$7="Все",$C473=Главная!$F$7)),$L473,"")</f>
        <v/>
      </c>
      <c r="P473" s="0" t="str">
        <f aca="false">IF(J473="Выполнено",ROW(),"")</f>
        <v/>
      </c>
    </row>
    <row r="474" customFormat="false" ht="21.75" hidden="false" customHeight="true" outlineLevel="0" collapsed="false">
      <c r="A474" s="31"/>
      <c r="B474" s="31"/>
      <c r="C474" s="32"/>
      <c r="D474" s="32"/>
      <c r="E474" s="33"/>
      <c r="F474" s="33"/>
      <c r="G474" s="32"/>
      <c r="H474" s="32"/>
      <c r="I474" s="31"/>
      <c r="J474" s="34" t="str">
        <f aca="true">IF(TRIM(A474)="","",IF(D474="Выполнено","Выполнено",IF(OR(C474="Срочно",AND(F474&lt;&gt;"",F474&lt;=TODAY())),"Срочные",IF(OR(D474="Отложено",C474="Низкий",AND(F474&lt;&gt;"",F474&gt;TODAY()+Справочники!$H$2)),"Плановые","Текущие"))))</f>
        <v/>
      </c>
      <c r="K474" s="35" t="str">
        <f aca="true">IF(OR(A474="",D474="Выполнено"),"",IF(F474="",IF(AND(G474&lt;&gt;"",G474&lt;&gt;"Разово"),"↻ "&amp;G474,""),IF(F474&lt;TODAY(),"Просрочено на "&amp;(TODAY()-F474)&amp;" дн.",IF(F474=TODAY(),"Сегодня",IF(F474=TODAY()+1,"Завтра","Через "&amp;(F474-TODAY())&amp;" дн.")))))</f>
        <v/>
      </c>
      <c r="L474" s="0" t="str">
        <f aca="true">IF(J474="","",(IF(AND(F474&lt;&gt;"",F474&lt;TODAY()),0,1)*10000000+IFERROR(MATCH(C474,{"Срочно","Высокий","Средний","Низкий"},0),5)*100000+IF(F474="",99999,F474))*1000+ROW())</f>
        <v/>
      </c>
      <c r="M474" s="0" t="str">
        <f aca="false">IF(AND($J474="Срочные",OR(Главная!$F$6="Все",$B474=Главная!$F$6),OR(Главная!$F$7="Все",$C474=Главная!$F$7)),$L474,"")</f>
        <v/>
      </c>
      <c r="N474" s="0" t="str">
        <f aca="false">IF(AND($J474="Текущие",OR(Главная!$F$6="Все",$B474=Главная!$F$6),OR(Главная!$F$7="Все",$C474=Главная!$F$7)),$L474,"")</f>
        <v/>
      </c>
      <c r="O474" s="0" t="str">
        <f aca="false">IF(AND($J474="Плановые",OR(Главная!$F$6="Все",$B474=Главная!$F$6),OR(Главная!$F$7="Все",$C474=Главная!$F$7)),$L474,"")</f>
        <v/>
      </c>
      <c r="P474" s="0" t="str">
        <f aca="false">IF(J474="Выполнено",ROW(),"")</f>
        <v/>
      </c>
    </row>
    <row r="475" customFormat="false" ht="21.75" hidden="false" customHeight="true" outlineLevel="0" collapsed="false">
      <c r="A475" s="31"/>
      <c r="B475" s="31"/>
      <c r="C475" s="32"/>
      <c r="D475" s="32"/>
      <c r="E475" s="33"/>
      <c r="F475" s="33"/>
      <c r="G475" s="32"/>
      <c r="H475" s="32"/>
      <c r="I475" s="31"/>
      <c r="J475" s="34" t="str">
        <f aca="true">IF(TRIM(A475)="","",IF(D475="Выполнено","Выполнено",IF(OR(C475="Срочно",AND(F475&lt;&gt;"",F475&lt;=TODAY())),"Срочные",IF(OR(D475="Отложено",C475="Низкий",AND(F475&lt;&gt;"",F475&gt;TODAY()+Справочники!$H$2)),"Плановые","Текущие"))))</f>
        <v/>
      </c>
      <c r="K475" s="35" t="str">
        <f aca="true">IF(OR(A475="",D475="Выполнено"),"",IF(F475="",IF(AND(G475&lt;&gt;"",G475&lt;&gt;"Разово"),"↻ "&amp;G475,""),IF(F475&lt;TODAY(),"Просрочено на "&amp;(TODAY()-F475)&amp;" дн.",IF(F475=TODAY(),"Сегодня",IF(F475=TODAY()+1,"Завтра","Через "&amp;(F475-TODAY())&amp;" дн.")))))</f>
        <v/>
      </c>
      <c r="L475" s="0" t="str">
        <f aca="true">IF(J475="","",(IF(AND(F475&lt;&gt;"",F475&lt;TODAY()),0,1)*10000000+IFERROR(MATCH(C475,{"Срочно","Высокий","Средний","Низкий"},0),5)*100000+IF(F475="",99999,F475))*1000+ROW())</f>
        <v/>
      </c>
      <c r="M475" s="0" t="str">
        <f aca="false">IF(AND($J475="Срочные",OR(Главная!$F$6="Все",$B475=Главная!$F$6),OR(Главная!$F$7="Все",$C475=Главная!$F$7)),$L475,"")</f>
        <v/>
      </c>
      <c r="N475" s="0" t="str">
        <f aca="false">IF(AND($J475="Текущие",OR(Главная!$F$6="Все",$B475=Главная!$F$6),OR(Главная!$F$7="Все",$C475=Главная!$F$7)),$L475,"")</f>
        <v/>
      </c>
      <c r="O475" s="0" t="str">
        <f aca="false">IF(AND($J475="Плановые",OR(Главная!$F$6="Все",$B475=Главная!$F$6),OR(Главная!$F$7="Все",$C475=Главная!$F$7)),$L475,"")</f>
        <v/>
      </c>
      <c r="P475" s="0" t="str">
        <f aca="false">IF(J475="Выполнено",ROW(),"")</f>
        <v/>
      </c>
    </row>
    <row r="476" customFormat="false" ht="21.75" hidden="false" customHeight="true" outlineLevel="0" collapsed="false">
      <c r="A476" s="31"/>
      <c r="B476" s="31"/>
      <c r="C476" s="32"/>
      <c r="D476" s="32"/>
      <c r="E476" s="33"/>
      <c r="F476" s="33"/>
      <c r="G476" s="32"/>
      <c r="H476" s="32"/>
      <c r="I476" s="31"/>
      <c r="J476" s="34" t="str">
        <f aca="true">IF(TRIM(A476)="","",IF(D476="Выполнено","Выполнено",IF(OR(C476="Срочно",AND(F476&lt;&gt;"",F476&lt;=TODAY())),"Срочные",IF(OR(D476="Отложено",C476="Низкий",AND(F476&lt;&gt;"",F476&gt;TODAY()+Справочники!$H$2)),"Плановые","Текущие"))))</f>
        <v/>
      </c>
      <c r="K476" s="35" t="str">
        <f aca="true">IF(OR(A476="",D476="Выполнено"),"",IF(F476="",IF(AND(G476&lt;&gt;"",G476&lt;&gt;"Разово"),"↻ "&amp;G476,""),IF(F476&lt;TODAY(),"Просрочено на "&amp;(TODAY()-F476)&amp;" дн.",IF(F476=TODAY(),"Сегодня",IF(F476=TODAY()+1,"Завтра","Через "&amp;(F476-TODAY())&amp;" дн.")))))</f>
        <v/>
      </c>
      <c r="L476" s="0" t="str">
        <f aca="true">IF(J476="","",(IF(AND(F476&lt;&gt;"",F476&lt;TODAY()),0,1)*10000000+IFERROR(MATCH(C476,{"Срочно","Высокий","Средний","Низкий"},0),5)*100000+IF(F476="",99999,F476))*1000+ROW())</f>
        <v/>
      </c>
      <c r="M476" s="0" t="str">
        <f aca="false">IF(AND($J476="Срочные",OR(Главная!$F$6="Все",$B476=Главная!$F$6),OR(Главная!$F$7="Все",$C476=Главная!$F$7)),$L476,"")</f>
        <v/>
      </c>
      <c r="N476" s="0" t="str">
        <f aca="false">IF(AND($J476="Текущие",OR(Главная!$F$6="Все",$B476=Главная!$F$6),OR(Главная!$F$7="Все",$C476=Главная!$F$7)),$L476,"")</f>
        <v/>
      </c>
      <c r="O476" s="0" t="str">
        <f aca="false">IF(AND($J476="Плановые",OR(Главная!$F$6="Все",$B476=Главная!$F$6),OR(Главная!$F$7="Все",$C476=Главная!$F$7)),$L476,"")</f>
        <v/>
      </c>
      <c r="P476" s="0" t="str">
        <f aca="false">IF(J476="Выполнено",ROW(),"")</f>
        <v/>
      </c>
    </row>
    <row r="477" customFormat="false" ht="21.75" hidden="false" customHeight="true" outlineLevel="0" collapsed="false">
      <c r="A477" s="31"/>
      <c r="B477" s="31"/>
      <c r="C477" s="32"/>
      <c r="D477" s="32"/>
      <c r="E477" s="33"/>
      <c r="F477" s="33"/>
      <c r="G477" s="32"/>
      <c r="H477" s="32"/>
      <c r="I477" s="31"/>
      <c r="J477" s="34" t="str">
        <f aca="true">IF(TRIM(A477)="","",IF(D477="Выполнено","Выполнено",IF(OR(C477="Срочно",AND(F477&lt;&gt;"",F477&lt;=TODAY())),"Срочные",IF(OR(D477="Отложено",C477="Низкий",AND(F477&lt;&gt;"",F477&gt;TODAY()+Справочники!$H$2)),"Плановые","Текущие"))))</f>
        <v/>
      </c>
      <c r="K477" s="35" t="str">
        <f aca="true">IF(OR(A477="",D477="Выполнено"),"",IF(F477="",IF(AND(G477&lt;&gt;"",G477&lt;&gt;"Разово"),"↻ "&amp;G477,""),IF(F477&lt;TODAY(),"Просрочено на "&amp;(TODAY()-F477)&amp;" дн.",IF(F477=TODAY(),"Сегодня",IF(F477=TODAY()+1,"Завтра","Через "&amp;(F477-TODAY())&amp;" дн.")))))</f>
        <v/>
      </c>
      <c r="L477" s="0" t="str">
        <f aca="true">IF(J477="","",(IF(AND(F477&lt;&gt;"",F477&lt;TODAY()),0,1)*10000000+IFERROR(MATCH(C477,{"Срочно","Высокий","Средний","Низкий"},0),5)*100000+IF(F477="",99999,F477))*1000+ROW())</f>
        <v/>
      </c>
      <c r="M477" s="0" t="str">
        <f aca="false">IF(AND($J477="Срочные",OR(Главная!$F$6="Все",$B477=Главная!$F$6),OR(Главная!$F$7="Все",$C477=Главная!$F$7)),$L477,"")</f>
        <v/>
      </c>
      <c r="N477" s="0" t="str">
        <f aca="false">IF(AND($J477="Текущие",OR(Главная!$F$6="Все",$B477=Главная!$F$6),OR(Главная!$F$7="Все",$C477=Главная!$F$7)),$L477,"")</f>
        <v/>
      </c>
      <c r="O477" s="0" t="str">
        <f aca="false">IF(AND($J477="Плановые",OR(Главная!$F$6="Все",$B477=Главная!$F$6),OR(Главная!$F$7="Все",$C477=Главная!$F$7)),$L477,"")</f>
        <v/>
      </c>
      <c r="P477" s="0" t="str">
        <f aca="false">IF(J477="Выполнено",ROW(),"")</f>
        <v/>
      </c>
    </row>
    <row r="478" customFormat="false" ht="21.75" hidden="false" customHeight="true" outlineLevel="0" collapsed="false">
      <c r="A478" s="31"/>
      <c r="B478" s="31"/>
      <c r="C478" s="32"/>
      <c r="D478" s="32"/>
      <c r="E478" s="33"/>
      <c r="F478" s="33"/>
      <c r="G478" s="32"/>
      <c r="H478" s="32"/>
      <c r="I478" s="31"/>
      <c r="J478" s="34" t="str">
        <f aca="true">IF(TRIM(A478)="","",IF(D478="Выполнено","Выполнено",IF(OR(C478="Срочно",AND(F478&lt;&gt;"",F478&lt;=TODAY())),"Срочные",IF(OR(D478="Отложено",C478="Низкий",AND(F478&lt;&gt;"",F478&gt;TODAY()+Справочники!$H$2)),"Плановые","Текущие"))))</f>
        <v/>
      </c>
      <c r="K478" s="35" t="str">
        <f aca="true">IF(OR(A478="",D478="Выполнено"),"",IF(F478="",IF(AND(G478&lt;&gt;"",G478&lt;&gt;"Разово"),"↻ "&amp;G478,""),IF(F478&lt;TODAY(),"Просрочено на "&amp;(TODAY()-F478)&amp;" дн.",IF(F478=TODAY(),"Сегодня",IF(F478=TODAY()+1,"Завтра","Через "&amp;(F478-TODAY())&amp;" дн.")))))</f>
        <v/>
      </c>
      <c r="L478" s="0" t="str">
        <f aca="true">IF(J478="","",(IF(AND(F478&lt;&gt;"",F478&lt;TODAY()),0,1)*10000000+IFERROR(MATCH(C478,{"Срочно","Высокий","Средний","Низкий"},0),5)*100000+IF(F478="",99999,F478))*1000+ROW())</f>
        <v/>
      </c>
      <c r="M478" s="0" t="str">
        <f aca="false">IF(AND($J478="Срочные",OR(Главная!$F$6="Все",$B478=Главная!$F$6),OR(Главная!$F$7="Все",$C478=Главная!$F$7)),$L478,"")</f>
        <v/>
      </c>
      <c r="N478" s="0" t="str">
        <f aca="false">IF(AND($J478="Текущие",OR(Главная!$F$6="Все",$B478=Главная!$F$6),OR(Главная!$F$7="Все",$C478=Главная!$F$7)),$L478,"")</f>
        <v/>
      </c>
      <c r="O478" s="0" t="str">
        <f aca="false">IF(AND($J478="Плановые",OR(Главная!$F$6="Все",$B478=Главная!$F$6),OR(Главная!$F$7="Все",$C478=Главная!$F$7)),$L478,"")</f>
        <v/>
      </c>
      <c r="P478" s="0" t="str">
        <f aca="false">IF(J478="Выполнено",ROW(),"")</f>
        <v/>
      </c>
    </row>
    <row r="479" customFormat="false" ht="21.75" hidden="false" customHeight="true" outlineLevel="0" collapsed="false">
      <c r="A479" s="31"/>
      <c r="B479" s="31"/>
      <c r="C479" s="32"/>
      <c r="D479" s="32"/>
      <c r="E479" s="33"/>
      <c r="F479" s="33"/>
      <c r="G479" s="32"/>
      <c r="H479" s="32"/>
      <c r="I479" s="31"/>
      <c r="J479" s="34" t="str">
        <f aca="true">IF(TRIM(A479)="","",IF(D479="Выполнено","Выполнено",IF(OR(C479="Срочно",AND(F479&lt;&gt;"",F479&lt;=TODAY())),"Срочные",IF(OR(D479="Отложено",C479="Низкий",AND(F479&lt;&gt;"",F479&gt;TODAY()+Справочники!$H$2)),"Плановые","Текущие"))))</f>
        <v/>
      </c>
      <c r="K479" s="35" t="str">
        <f aca="true">IF(OR(A479="",D479="Выполнено"),"",IF(F479="",IF(AND(G479&lt;&gt;"",G479&lt;&gt;"Разово"),"↻ "&amp;G479,""),IF(F479&lt;TODAY(),"Просрочено на "&amp;(TODAY()-F479)&amp;" дн.",IF(F479=TODAY(),"Сегодня",IF(F479=TODAY()+1,"Завтра","Через "&amp;(F479-TODAY())&amp;" дн.")))))</f>
        <v/>
      </c>
      <c r="L479" s="0" t="str">
        <f aca="true">IF(J479="","",(IF(AND(F479&lt;&gt;"",F479&lt;TODAY()),0,1)*10000000+IFERROR(MATCH(C479,{"Срочно","Высокий","Средний","Низкий"},0),5)*100000+IF(F479="",99999,F479))*1000+ROW())</f>
        <v/>
      </c>
      <c r="M479" s="0" t="str">
        <f aca="false">IF(AND($J479="Срочные",OR(Главная!$F$6="Все",$B479=Главная!$F$6),OR(Главная!$F$7="Все",$C479=Главная!$F$7)),$L479,"")</f>
        <v/>
      </c>
      <c r="N479" s="0" t="str">
        <f aca="false">IF(AND($J479="Текущие",OR(Главная!$F$6="Все",$B479=Главная!$F$6),OR(Главная!$F$7="Все",$C479=Главная!$F$7)),$L479,"")</f>
        <v/>
      </c>
      <c r="O479" s="0" t="str">
        <f aca="false">IF(AND($J479="Плановые",OR(Главная!$F$6="Все",$B479=Главная!$F$6),OR(Главная!$F$7="Все",$C479=Главная!$F$7)),$L479,"")</f>
        <v/>
      </c>
      <c r="P479" s="0" t="str">
        <f aca="false">IF(J479="Выполнено",ROW(),"")</f>
        <v/>
      </c>
    </row>
    <row r="480" customFormat="false" ht="21.75" hidden="false" customHeight="true" outlineLevel="0" collapsed="false">
      <c r="A480" s="31"/>
      <c r="B480" s="31"/>
      <c r="C480" s="32"/>
      <c r="D480" s="32"/>
      <c r="E480" s="33"/>
      <c r="F480" s="33"/>
      <c r="G480" s="32"/>
      <c r="H480" s="32"/>
      <c r="I480" s="31"/>
      <c r="J480" s="34" t="str">
        <f aca="true">IF(TRIM(A480)="","",IF(D480="Выполнено","Выполнено",IF(OR(C480="Срочно",AND(F480&lt;&gt;"",F480&lt;=TODAY())),"Срочные",IF(OR(D480="Отложено",C480="Низкий",AND(F480&lt;&gt;"",F480&gt;TODAY()+Справочники!$H$2)),"Плановые","Текущие"))))</f>
        <v/>
      </c>
      <c r="K480" s="35" t="str">
        <f aca="true">IF(OR(A480="",D480="Выполнено"),"",IF(F480="",IF(AND(G480&lt;&gt;"",G480&lt;&gt;"Разово"),"↻ "&amp;G480,""),IF(F480&lt;TODAY(),"Просрочено на "&amp;(TODAY()-F480)&amp;" дн.",IF(F480=TODAY(),"Сегодня",IF(F480=TODAY()+1,"Завтра","Через "&amp;(F480-TODAY())&amp;" дн.")))))</f>
        <v/>
      </c>
      <c r="L480" s="0" t="str">
        <f aca="true">IF(J480="","",(IF(AND(F480&lt;&gt;"",F480&lt;TODAY()),0,1)*10000000+IFERROR(MATCH(C480,{"Срочно","Высокий","Средний","Низкий"},0),5)*100000+IF(F480="",99999,F480))*1000+ROW())</f>
        <v/>
      </c>
      <c r="M480" s="0" t="str">
        <f aca="false">IF(AND($J480="Срочные",OR(Главная!$F$6="Все",$B480=Главная!$F$6),OR(Главная!$F$7="Все",$C480=Главная!$F$7)),$L480,"")</f>
        <v/>
      </c>
      <c r="N480" s="0" t="str">
        <f aca="false">IF(AND($J480="Текущие",OR(Главная!$F$6="Все",$B480=Главная!$F$6),OR(Главная!$F$7="Все",$C480=Главная!$F$7)),$L480,"")</f>
        <v/>
      </c>
      <c r="O480" s="0" t="str">
        <f aca="false">IF(AND($J480="Плановые",OR(Главная!$F$6="Все",$B480=Главная!$F$6),OR(Главная!$F$7="Все",$C480=Главная!$F$7)),$L480,"")</f>
        <v/>
      </c>
      <c r="P480" s="0" t="str">
        <f aca="false">IF(J480="Выполнено",ROW(),"")</f>
        <v/>
      </c>
    </row>
    <row r="481" customFormat="false" ht="21.75" hidden="false" customHeight="true" outlineLevel="0" collapsed="false">
      <c r="A481" s="31"/>
      <c r="B481" s="31"/>
      <c r="C481" s="32"/>
      <c r="D481" s="32"/>
      <c r="E481" s="33"/>
      <c r="F481" s="33"/>
      <c r="G481" s="32"/>
      <c r="H481" s="32"/>
      <c r="I481" s="31"/>
      <c r="J481" s="34" t="str">
        <f aca="true">IF(TRIM(A481)="","",IF(D481="Выполнено","Выполнено",IF(OR(C481="Срочно",AND(F481&lt;&gt;"",F481&lt;=TODAY())),"Срочные",IF(OR(D481="Отложено",C481="Низкий",AND(F481&lt;&gt;"",F481&gt;TODAY()+Справочники!$H$2)),"Плановые","Текущие"))))</f>
        <v/>
      </c>
      <c r="K481" s="35" t="str">
        <f aca="true">IF(OR(A481="",D481="Выполнено"),"",IF(F481="",IF(AND(G481&lt;&gt;"",G481&lt;&gt;"Разово"),"↻ "&amp;G481,""),IF(F481&lt;TODAY(),"Просрочено на "&amp;(TODAY()-F481)&amp;" дн.",IF(F481=TODAY(),"Сегодня",IF(F481=TODAY()+1,"Завтра","Через "&amp;(F481-TODAY())&amp;" дн.")))))</f>
        <v/>
      </c>
      <c r="L481" s="0" t="str">
        <f aca="true">IF(J481="","",(IF(AND(F481&lt;&gt;"",F481&lt;TODAY()),0,1)*10000000+IFERROR(MATCH(C481,{"Срочно","Высокий","Средний","Низкий"},0),5)*100000+IF(F481="",99999,F481))*1000+ROW())</f>
        <v/>
      </c>
      <c r="M481" s="0" t="str">
        <f aca="false">IF(AND($J481="Срочные",OR(Главная!$F$6="Все",$B481=Главная!$F$6),OR(Главная!$F$7="Все",$C481=Главная!$F$7)),$L481,"")</f>
        <v/>
      </c>
      <c r="N481" s="0" t="str">
        <f aca="false">IF(AND($J481="Текущие",OR(Главная!$F$6="Все",$B481=Главная!$F$6),OR(Главная!$F$7="Все",$C481=Главная!$F$7)),$L481,"")</f>
        <v/>
      </c>
      <c r="O481" s="0" t="str">
        <f aca="false">IF(AND($J481="Плановые",OR(Главная!$F$6="Все",$B481=Главная!$F$6),OR(Главная!$F$7="Все",$C481=Главная!$F$7)),$L481,"")</f>
        <v/>
      </c>
      <c r="P481" s="0" t="str">
        <f aca="false">IF(J481="Выполнено",ROW(),"")</f>
        <v/>
      </c>
    </row>
    <row r="482" customFormat="false" ht="21.75" hidden="false" customHeight="true" outlineLevel="0" collapsed="false">
      <c r="A482" s="31"/>
      <c r="B482" s="31"/>
      <c r="C482" s="32"/>
      <c r="D482" s="32"/>
      <c r="E482" s="33"/>
      <c r="F482" s="33"/>
      <c r="G482" s="32"/>
      <c r="H482" s="32"/>
      <c r="I482" s="31"/>
      <c r="J482" s="34" t="str">
        <f aca="true">IF(TRIM(A482)="","",IF(D482="Выполнено","Выполнено",IF(OR(C482="Срочно",AND(F482&lt;&gt;"",F482&lt;=TODAY())),"Срочные",IF(OR(D482="Отложено",C482="Низкий",AND(F482&lt;&gt;"",F482&gt;TODAY()+Справочники!$H$2)),"Плановые","Текущие"))))</f>
        <v/>
      </c>
      <c r="K482" s="35" t="str">
        <f aca="true">IF(OR(A482="",D482="Выполнено"),"",IF(F482="",IF(AND(G482&lt;&gt;"",G482&lt;&gt;"Разово"),"↻ "&amp;G482,""),IF(F482&lt;TODAY(),"Просрочено на "&amp;(TODAY()-F482)&amp;" дн.",IF(F482=TODAY(),"Сегодня",IF(F482=TODAY()+1,"Завтра","Через "&amp;(F482-TODAY())&amp;" дн.")))))</f>
        <v/>
      </c>
      <c r="L482" s="0" t="str">
        <f aca="true">IF(J482="","",(IF(AND(F482&lt;&gt;"",F482&lt;TODAY()),0,1)*10000000+IFERROR(MATCH(C482,{"Срочно","Высокий","Средний","Низкий"},0),5)*100000+IF(F482="",99999,F482))*1000+ROW())</f>
        <v/>
      </c>
      <c r="M482" s="0" t="str">
        <f aca="false">IF(AND($J482="Срочные",OR(Главная!$F$6="Все",$B482=Главная!$F$6),OR(Главная!$F$7="Все",$C482=Главная!$F$7)),$L482,"")</f>
        <v/>
      </c>
      <c r="N482" s="0" t="str">
        <f aca="false">IF(AND($J482="Текущие",OR(Главная!$F$6="Все",$B482=Главная!$F$6),OR(Главная!$F$7="Все",$C482=Главная!$F$7)),$L482,"")</f>
        <v/>
      </c>
      <c r="O482" s="0" t="str">
        <f aca="false">IF(AND($J482="Плановые",OR(Главная!$F$6="Все",$B482=Главная!$F$6),OR(Главная!$F$7="Все",$C482=Главная!$F$7)),$L482,"")</f>
        <v/>
      </c>
      <c r="P482" s="0" t="str">
        <f aca="false">IF(J482="Выполнено",ROW(),"")</f>
        <v/>
      </c>
    </row>
    <row r="483" customFormat="false" ht="21.75" hidden="false" customHeight="true" outlineLevel="0" collapsed="false">
      <c r="A483" s="31"/>
      <c r="B483" s="31"/>
      <c r="C483" s="32"/>
      <c r="D483" s="32"/>
      <c r="E483" s="33"/>
      <c r="F483" s="33"/>
      <c r="G483" s="32"/>
      <c r="H483" s="32"/>
      <c r="I483" s="31"/>
      <c r="J483" s="34" t="str">
        <f aca="true">IF(TRIM(A483)="","",IF(D483="Выполнено","Выполнено",IF(OR(C483="Срочно",AND(F483&lt;&gt;"",F483&lt;=TODAY())),"Срочные",IF(OR(D483="Отложено",C483="Низкий",AND(F483&lt;&gt;"",F483&gt;TODAY()+Справочники!$H$2)),"Плановые","Текущие"))))</f>
        <v/>
      </c>
      <c r="K483" s="35" t="str">
        <f aca="true">IF(OR(A483="",D483="Выполнено"),"",IF(F483="",IF(AND(G483&lt;&gt;"",G483&lt;&gt;"Разово"),"↻ "&amp;G483,""),IF(F483&lt;TODAY(),"Просрочено на "&amp;(TODAY()-F483)&amp;" дн.",IF(F483=TODAY(),"Сегодня",IF(F483=TODAY()+1,"Завтра","Через "&amp;(F483-TODAY())&amp;" дн.")))))</f>
        <v/>
      </c>
      <c r="L483" s="0" t="str">
        <f aca="true">IF(J483="","",(IF(AND(F483&lt;&gt;"",F483&lt;TODAY()),0,1)*10000000+IFERROR(MATCH(C483,{"Срочно","Высокий","Средний","Низкий"},0),5)*100000+IF(F483="",99999,F483))*1000+ROW())</f>
        <v/>
      </c>
      <c r="M483" s="0" t="str">
        <f aca="false">IF(AND($J483="Срочные",OR(Главная!$F$6="Все",$B483=Главная!$F$6),OR(Главная!$F$7="Все",$C483=Главная!$F$7)),$L483,"")</f>
        <v/>
      </c>
      <c r="N483" s="0" t="str">
        <f aca="false">IF(AND($J483="Текущие",OR(Главная!$F$6="Все",$B483=Главная!$F$6),OR(Главная!$F$7="Все",$C483=Главная!$F$7)),$L483,"")</f>
        <v/>
      </c>
      <c r="O483" s="0" t="str">
        <f aca="false">IF(AND($J483="Плановые",OR(Главная!$F$6="Все",$B483=Главная!$F$6),OR(Главная!$F$7="Все",$C483=Главная!$F$7)),$L483,"")</f>
        <v/>
      </c>
      <c r="P483" s="0" t="str">
        <f aca="false">IF(J483="Выполнено",ROW(),"")</f>
        <v/>
      </c>
    </row>
    <row r="484" customFormat="false" ht="21.75" hidden="false" customHeight="true" outlineLevel="0" collapsed="false">
      <c r="A484" s="31"/>
      <c r="B484" s="31"/>
      <c r="C484" s="32"/>
      <c r="D484" s="32"/>
      <c r="E484" s="33"/>
      <c r="F484" s="33"/>
      <c r="G484" s="32"/>
      <c r="H484" s="32"/>
      <c r="I484" s="31"/>
      <c r="J484" s="34" t="str">
        <f aca="true">IF(TRIM(A484)="","",IF(D484="Выполнено","Выполнено",IF(OR(C484="Срочно",AND(F484&lt;&gt;"",F484&lt;=TODAY())),"Срочные",IF(OR(D484="Отложено",C484="Низкий",AND(F484&lt;&gt;"",F484&gt;TODAY()+Справочники!$H$2)),"Плановые","Текущие"))))</f>
        <v/>
      </c>
      <c r="K484" s="35" t="str">
        <f aca="true">IF(OR(A484="",D484="Выполнено"),"",IF(F484="",IF(AND(G484&lt;&gt;"",G484&lt;&gt;"Разово"),"↻ "&amp;G484,""),IF(F484&lt;TODAY(),"Просрочено на "&amp;(TODAY()-F484)&amp;" дн.",IF(F484=TODAY(),"Сегодня",IF(F484=TODAY()+1,"Завтра","Через "&amp;(F484-TODAY())&amp;" дн.")))))</f>
        <v/>
      </c>
      <c r="L484" s="0" t="str">
        <f aca="true">IF(J484="","",(IF(AND(F484&lt;&gt;"",F484&lt;TODAY()),0,1)*10000000+IFERROR(MATCH(C484,{"Срочно","Высокий","Средний","Низкий"},0),5)*100000+IF(F484="",99999,F484))*1000+ROW())</f>
        <v/>
      </c>
      <c r="M484" s="0" t="str">
        <f aca="false">IF(AND($J484="Срочные",OR(Главная!$F$6="Все",$B484=Главная!$F$6),OR(Главная!$F$7="Все",$C484=Главная!$F$7)),$L484,"")</f>
        <v/>
      </c>
      <c r="N484" s="0" t="str">
        <f aca="false">IF(AND($J484="Текущие",OR(Главная!$F$6="Все",$B484=Главная!$F$6),OR(Главная!$F$7="Все",$C484=Главная!$F$7)),$L484,"")</f>
        <v/>
      </c>
      <c r="O484" s="0" t="str">
        <f aca="false">IF(AND($J484="Плановые",OR(Главная!$F$6="Все",$B484=Главная!$F$6),OR(Главная!$F$7="Все",$C484=Главная!$F$7)),$L484,"")</f>
        <v/>
      </c>
      <c r="P484" s="0" t="str">
        <f aca="false">IF(J484="Выполнено",ROW(),"")</f>
        <v/>
      </c>
    </row>
    <row r="485" customFormat="false" ht="21.75" hidden="false" customHeight="true" outlineLevel="0" collapsed="false">
      <c r="A485" s="31"/>
      <c r="B485" s="31"/>
      <c r="C485" s="32"/>
      <c r="D485" s="32"/>
      <c r="E485" s="33"/>
      <c r="F485" s="33"/>
      <c r="G485" s="32"/>
      <c r="H485" s="32"/>
      <c r="I485" s="31"/>
      <c r="J485" s="34" t="str">
        <f aca="true">IF(TRIM(A485)="","",IF(D485="Выполнено","Выполнено",IF(OR(C485="Срочно",AND(F485&lt;&gt;"",F485&lt;=TODAY())),"Срочные",IF(OR(D485="Отложено",C485="Низкий",AND(F485&lt;&gt;"",F485&gt;TODAY()+Справочники!$H$2)),"Плановые","Текущие"))))</f>
        <v/>
      </c>
      <c r="K485" s="35" t="str">
        <f aca="true">IF(OR(A485="",D485="Выполнено"),"",IF(F485="",IF(AND(G485&lt;&gt;"",G485&lt;&gt;"Разово"),"↻ "&amp;G485,""),IF(F485&lt;TODAY(),"Просрочено на "&amp;(TODAY()-F485)&amp;" дн.",IF(F485=TODAY(),"Сегодня",IF(F485=TODAY()+1,"Завтра","Через "&amp;(F485-TODAY())&amp;" дн.")))))</f>
        <v/>
      </c>
      <c r="L485" s="0" t="str">
        <f aca="true">IF(J485="","",(IF(AND(F485&lt;&gt;"",F485&lt;TODAY()),0,1)*10000000+IFERROR(MATCH(C485,{"Срочно","Высокий","Средний","Низкий"},0),5)*100000+IF(F485="",99999,F485))*1000+ROW())</f>
        <v/>
      </c>
      <c r="M485" s="0" t="str">
        <f aca="false">IF(AND($J485="Срочные",OR(Главная!$F$6="Все",$B485=Главная!$F$6),OR(Главная!$F$7="Все",$C485=Главная!$F$7)),$L485,"")</f>
        <v/>
      </c>
      <c r="N485" s="0" t="str">
        <f aca="false">IF(AND($J485="Текущие",OR(Главная!$F$6="Все",$B485=Главная!$F$6),OR(Главная!$F$7="Все",$C485=Главная!$F$7)),$L485,"")</f>
        <v/>
      </c>
      <c r="O485" s="0" t="str">
        <f aca="false">IF(AND($J485="Плановые",OR(Главная!$F$6="Все",$B485=Главная!$F$6),OR(Главная!$F$7="Все",$C485=Главная!$F$7)),$L485,"")</f>
        <v/>
      </c>
      <c r="P485" s="0" t="str">
        <f aca="false">IF(J485="Выполнено",ROW(),"")</f>
        <v/>
      </c>
    </row>
    <row r="486" customFormat="false" ht="21.75" hidden="false" customHeight="true" outlineLevel="0" collapsed="false">
      <c r="A486" s="31"/>
      <c r="B486" s="31"/>
      <c r="C486" s="32"/>
      <c r="D486" s="32"/>
      <c r="E486" s="33"/>
      <c r="F486" s="33"/>
      <c r="G486" s="32"/>
      <c r="H486" s="32"/>
      <c r="I486" s="31"/>
      <c r="J486" s="34" t="str">
        <f aca="true">IF(TRIM(A486)="","",IF(D486="Выполнено","Выполнено",IF(OR(C486="Срочно",AND(F486&lt;&gt;"",F486&lt;=TODAY())),"Срочные",IF(OR(D486="Отложено",C486="Низкий",AND(F486&lt;&gt;"",F486&gt;TODAY()+Справочники!$H$2)),"Плановые","Текущие"))))</f>
        <v/>
      </c>
      <c r="K486" s="35" t="str">
        <f aca="true">IF(OR(A486="",D486="Выполнено"),"",IF(F486="",IF(AND(G486&lt;&gt;"",G486&lt;&gt;"Разово"),"↻ "&amp;G486,""),IF(F486&lt;TODAY(),"Просрочено на "&amp;(TODAY()-F486)&amp;" дн.",IF(F486=TODAY(),"Сегодня",IF(F486=TODAY()+1,"Завтра","Через "&amp;(F486-TODAY())&amp;" дн.")))))</f>
        <v/>
      </c>
      <c r="L486" s="0" t="str">
        <f aca="true">IF(J486="","",(IF(AND(F486&lt;&gt;"",F486&lt;TODAY()),0,1)*10000000+IFERROR(MATCH(C486,{"Срочно","Высокий","Средний","Низкий"},0),5)*100000+IF(F486="",99999,F486))*1000+ROW())</f>
        <v/>
      </c>
      <c r="M486" s="0" t="str">
        <f aca="false">IF(AND($J486="Срочные",OR(Главная!$F$6="Все",$B486=Главная!$F$6),OR(Главная!$F$7="Все",$C486=Главная!$F$7)),$L486,"")</f>
        <v/>
      </c>
      <c r="N486" s="0" t="str">
        <f aca="false">IF(AND($J486="Текущие",OR(Главная!$F$6="Все",$B486=Главная!$F$6),OR(Главная!$F$7="Все",$C486=Главная!$F$7)),$L486,"")</f>
        <v/>
      </c>
      <c r="O486" s="0" t="str">
        <f aca="false">IF(AND($J486="Плановые",OR(Главная!$F$6="Все",$B486=Главная!$F$6),OR(Главная!$F$7="Все",$C486=Главная!$F$7)),$L486,"")</f>
        <v/>
      </c>
      <c r="P486" s="0" t="str">
        <f aca="false">IF(J486="Выполнено",ROW(),"")</f>
        <v/>
      </c>
    </row>
    <row r="487" customFormat="false" ht="21.75" hidden="false" customHeight="true" outlineLevel="0" collapsed="false">
      <c r="A487" s="31"/>
      <c r="B487" s="31"/>
      <c r="C487" s="32"/>
      <c r="D487" s="32"/>
      <c r="E487" s="33"/>
      <c r="F487" s="33"/>
      <c r="G487" s="32"/>
      <c r="H487" s="32"/>
      <c r="I487" s="31"/>
      <c r="J487" s="34" t="str">
        <f aca="true">IF(TRIM(A487)="","",IF(D487="Выполнено","Выполнено",IF(OR(C487="Срочно",AND(F487&lt;&gt;"",F487&lt;=TODAY())),"Срочные",IF(OR(D487="Отложено",C487="Низкий",AND(F487&lt;&gt;"",F487&gt;TODAY()+Справочники!$H$2)),"Плановые","Текущие"))))</f>
        <v/>
      </c>
      <c r="K487" s="35" t="str">
        <f aca="true">IF(OR(A487="",D487="Выполнено"),"",IF(F487="",IF(AND(G487&lt;&gt;"",G487&lt;&gt;"Разово"),"↻ "&amp;G487,""),IF(F487&lt;TODAY(),"Просрочено на "&amp;(TODAY()-F487)&amp;" дн.",IF(F487=TODAY(),"Сегодня",IF(F487=TODAY()+1,"Завтра","Через "&amp;(F487-TODAY())&amp;" дн.")))))</f>
        <v/>
      </c>
      <c r="L487" s="0" t="str">
        <f aca="true">IF(J487="","",(IF(AND(F487&lt;&gt;"",F487&lt;TODAY()),0,1)*10000000+IFERROR(MATCH(C487,{"Срочно","Высокий","Средний","Низкий"},0),5)*100000+IF(F487="",99999,F487))*1000+ROW())</f>
        <v/>
      </c>
      <c r="M487" s="0" t="str">
        <f aca="false">IF(AND($J487="Срочные",OR(Главная!$F$6="Все",$B487=Главная!$F$6),OR(Главная!$F$7="Все",$C487=Главная!$F$7)),$L487,"")</f>
        <v/>
      </c>
      <c r="N487" s="0" t="str">
        <f aca="false">IF(AND($J487="Текущие",OR(Главная!$F$6="Все",$B487=Главная!$F$6),OR(Главная!$F$7="Все",$C487=Главная!$F$7)),$L487,"")</f>
        <v/>
      </c>
      <c r="O487" s="0" t="str">
        <f aca="false">IF(AND($J487="Плановые",OR(Главная!$F$6="Все",$B487=Главная!$F$6),OR(Главная!$F$7="Все",$C487=Главная!$F$7)),$L487,"")</f>
        <v/>
      </c>
      <c r="P487" s="0" t="str">
        <f aca="false">IF(J487="Выполнено",ROW(),"")</f>
        <v/>
      </c>
    </row>
    <row r="488" customFormat="false" ht="21.75" hidden="false" customHeight="true" outlineLevel="0" collapsed="false">
      <c r="A488" s="31"/>
      <c r="B488" s="31"/>
      <c r="C488" s="32"/>
      <c r="D488" s="32"/>
      <c r="E488" s="33"/>
      <c r="F488" s="33"/>
      <c r="G488" s="32"/>
      <c r="H488" s="32"/>
      <c r="I488" s="31"/>
      <c r="J488" s="34" t="str">
        <f aca="true">IF(TRIM(A488)="","",IF(D488="Выполнено","Выполнено",IF(OR(C488="Срочно",AND(F488&lt;&gt;"",F488&lt;=TODAY())),"Срочные",IF(OR(D488="Отложено",C488="Низкий",AND(F488&lt;&gt;"",F488&gt;TODAY()+Справочники!$H$2)),"Плановые","Текущие"))))</f>
        <v/>
      </c>
      <c r="K488" s="35" t="str">
        <f aca="true">IF(OR(A488="",D488="Выполнено"),"",IF(F488="",IF(AND(G488&lt;&gt;"",G488&lt;&gt;"Разово"),"↻ "&amp;G488,""),IF(F488&lt;TODAY(),"Просрочено на "&amp;(TODAY()-F488)&amp;" дн.",IF(F488=TODAY(),"Сегодня",IF(F488=TODAY()+1,"Завтра","Через "&amp;(F488-TODAY())&amp;" дн.")))))</f>
        <v/>
      </c>
      <c r="L488" s="0" t="str">
        <f aca="true">IF(J488="","",(IF(AND(F488&lt;&gt;"",F488&lt;TODAY()),0,1)*10000000+IFERROR(MATCH(C488,{"Срочно","Высокий","Средний","Низкий"},0),5)*100000+IF(F488="",99999,F488))*1000+ROW())</f>
        <v/>
      </c>
      <c r="M488" s="0" t="str">
        <f aca="false">IF(AND($J488="Срочные",OR(Главная!$F$6="Все",$B488=Главная!$F$6),OR(Главная!$F$7="Все",$C488=Главная!$F$7)),$L488,"")</f>
        <v/>
      </c>
      <c r="N488" s="0" t="str">
        <f aca="false">IF(AND($J488="Текущие",OR(Главная!$F$6="Все",$B488=Главная!$F$6),OR(Главная!$F$7="Все",$C488=Главная!$F$7)),$L488,"")</f>
        <v/>
      </c>
      <c r="O488" s="0" t="str">
        <f aca="false">IF(AND($J488="Плановые",OR(Главная!$F$6="Все",$B488=Главная!$F$6),OR(Главная!$F$7="Все",$C488=Главная!$F$7)),$L488,"")</f>
        <v/>
      </c>
      <c r="P488" s="0" t="str">
        <f aca="false">IF(J488="Выполнено",ROW(),"")</f>
        <v/>
      </c>
    </row>
    <row r="489" customFormat="false" ht="21.75" hidden="false" customHeight="true" outlineLevel="0" collapsed="false">
      <c r="A489" s="31"/>
      <c r="B489" s="31"/>
      <c r="C489" s="32"/>
      <c r="D489" s="32"/>
      <c r="E489" s="33"/>
      <c r="F489" s="33"/>
      <c r="G489" s="32"/>
      <c r="H489" s="32"/>
      <c r="I489" s="31"/>
      <c r="J489" s="34" t="str">
        <f aca="true">IF(TRIM(A489)="","",IF(D489="Выполнено","Выполнено",IF(OR(C489="Срочно",AND(F489&lt;&gt;"",F489&lt;=TODAY())),"Срочные",IF(OR(D489="Отложено",C489="Низкий",AND(F489&lt;&gt;"",F489&gt;TODAY()+Справочники!$H$2)),"Плановые","Текущие"))))</f>
        <v/>
      </c>
      <c r="K489" s="35" t="str">
        <f aca="true">IF(OR(A489="",D489="Выполнено"),"",IF(F489="",IF(AND(G489&lt;&gt;"",G489&lt;&gt;"Разово"),"↻ "&amp;G489,""),IF(F489&lt;TODAY(),"Просрочено на "&amp;(TODAY()-F489)&amp;" дн.",IF(F489=TODAY(),"Сегодня",IF(F489=TODAY()+1,"Завтра","Через "&amp;(F489-TODAY())&amp;" дн.")))))</f>
        <v/>
      </c>
      <c r="L489" s="0" t="str">
        <f aca="true">IF(J489="","",(IF(AND(F489&lt;&gt;"",F489&lt;TODAY()),0,1)*10000000+IFERROR(MATCH(C489,{"Срочно","Высокий","Средний","Низкий"},0),5)*100000+IF(F489="",99999,F489))*1000+ROW())</f>
        <v/>
      </c>
      <c r="M489" s="0" t="str">
        <f aca="false">IF(AND($J489="Срочные",OR(Главная!$F$6="Все",$B489=Главная!$F$6),OR(Главная!$F$7="Все",$C489=Главная!$F$7)),$L489,"")</f>
        <v/>
      </c>
      <c r="N489" s="0" t="str">
        <f aca="false">IF(AND($J489="Текущие",OR(Главная!$F$6="Все",$B489=Главная!$F$6),OR(Главная!$F$7="Все",$C489=Главная!$F$7)),$L489,"")</f>
        <v/>
      </c>
      <c r="O489" s="0" t="str">
        <f aca="false">IF(AND($J489="Плановые",OR(Главная!$F$6="Все",$B489=Главная!$F$6),OR(Главная!$F$7="Все",$C489=Главная!$F$7)),$L489,"")</f>
        <v/>
      </c>
      <c r="P489" s="0" t="str">
        <f aca="false">IF(J489="Выполнено",ROW(),"")</f>
        <v/>
      </c>
    </row>
    <row r="490" customFormat="false" ht="21.75" hidden="false" customHeight="true" outlineLevel="0" collapsed="false">
      <c r="A490" s="31"/>
      <c r="B490" s="31"/>
      <c r="C490" s="32"/>
      <c r="D490" s="32"/>
      <c r="E490" s="33"/>
      <c r="F490" s="33"/>
      <c r="G490" s="32"/>
      <c r="H490" s="32"/>
      <c r="I490" s="31"/>
      <c r="J490" s="34" t="str">
        <f aca="true">IF(TRIM(A490)="","",IF(D490="Выполнено","Выполнено",IF(OR(C490="Срочно",AND(F490&lt;&gt;"",F490&lt;=TODAY())),"Срочные",IF(OR(D490="Отложено",C490="Низкий",AND(F490&lt;&gt;"",F490&gt;TODAY()+Справочники!$H$2)),"Плановые","Текущие"))))</f>
        <v/>
      </c>
      <c r="K490" s="35" t="str">
        <f aca="true">IF(OR(A490="",D490="Выполнено"),"",IF(F490="",IF(AND(G490&lt;&gt;"",G490&lt;&gt;"Разово"),"↻ "&amp;G490,""),IF(F490&lt;TODAY(),"Просрочено на "&amp;(TODAY()-F490)&amp;" дн.",IF(F490=TODAY(),"Сегодня",IF(F490=TODAY()+1,"Завтра","Через "&amp;(F490-TODAY())&amp;" дн.")))))</f>
        <v/>
      </c>
      <c r="L490" s="0" t="str">
        <f aca="true">IF(J490="","",(IF(AND(F490&lt;&gt;"",F490&lt;TODAY()),0,1)*10000000+IFERROR(MATCH(C490,{"Срочно","Высокий","Средний","Низкий"},0),5)*100000+IF(F490="",99999,F490))*1000+ROW())</f>
        <v/>
      </c>
      <c r="M490" s="0" t="str">
        <f aca="false">IF(AND($J490="Срочные",OR(Главная!$F$6="Все",$B490=Главная!$F$6),OR(Главная!$F$7="Все",$C490=Главная!$F$7)),$L490,"")</f>
        <v/>
      </c>
      <c r="N490" s="0" t="str">
        <f aca="false">IF(AND($J490="Текущие",OR(Главная!$F$6="Все",$B490=Главная!$F$6),OR(Главная!$F$7="Все",$C490=Главная!$F$7)),$L490,"")</f>
        <v/>
      </c>
      <c r="O490" s="0" t="str">
        <f aca="false">IF(AND($J490="Плановые",OR(Главная!$F$6="Все",$B490=Главная!$F$6),OR(Главная!$F$7="Все",$C490=Главная!$F$7)),$L490,"")</f>
        <v/>
      </c>
      <c r="P490" s="0" t="str">
        <f aca="false">IF(J490="Выполнено",ROW(),"")</f>
        <v/>
      </c>
    </row>
    <row r="491" customFormat="false" ht="21.75" hidden="false" customHeight="true" outlineLevel="0" collapsed="false">
      <c r="A491" s="31"/>
      <c r="B491" s="31"/>
      <c r="C491" s="32"/>
      <c r="D491" s="32"/>
      <c r="E491" s="33"/>
      <c r="F491" s="33"/>
      <c r="G491" s="32"/>
      <c r="H491" s="32"/>
      <c r="I491" s="31"/>
      <c r="J491" s="34" t="str">
        <f aca="true">IF(TRIM(A491)="","",IF(D491="Выполнено","Выполнено",IF(OR(C491="Срочно",AND(F491&lt;&gt;"",F491&lt;=TODAY())),"Срочные",IF(OR(D491="Отложено",C491="Низкий",AND(F491&lt;&gt;"",F491&gt;TODAY()+Справочники!$H$2)),"Плановые","Текущие"))))</f>
        <v/>
      </c>
      <c r="K491" s="35" t="str">
        <f aca="true">IF(OR(A491="",D491="Выполнено"),"",IF(F491="",IF(AND(G491&lt;&gt;"",G491&lt;&gt;"Разово"),"↻ "&amp;G491,""),IF(F491&lt;TODAY(),"Просрочено на "&amp;(TODAY()-F491)&amp;" дн.",IF(F491=TODAY(),"Сегодня",IF(F491=TODAY()+1,"Завтра","Через "&amp;(F491-TODAY())&amp;" дн.")))))</f>
        <v/>
      </c>
      <c r="L491" s="0" t="str">
        <f aca="true">IF(J491="","",(IF(AND(F491&lt;&gt;"",F491&lt;TODAY()),0,1)*10000000+IFERROR(MATCH(C491,{"Срочно","Высокий","Средний","Низкий"},0),5)*100000+IF(F491="",99999,F491))*1000+ROW())</f>
        <v/>
      </c>
      <c r="M491" s="0" t="str">
        <f aca="false">IF(AND($J491="Срочные",OR(Главная!$F$6="Все",$B491=Главная!$F$6),OR(Главная!$F$7="Все",$C491=Главная!$F$7)),$L491,"")</f>
        <v/>
      </c>
      <c r="N491" s="0" t="str">
        <f aca="false">IF(AND($J491="Текущие",OR(Главная!$F$6="Все",$B491=Главная!$F$6),OR(Главная!$F$7="Все",$C491=Главная!$F$7)),$L491,"")</f>
        <v/>
      </c>
      <c r="O491" s="0" t="str">
        <f aca="false">IF(AND($J491="Плановые",OR(Главная!$F$6="Все",$B491=Главная!$F$6),OR(Главная!$F$7="Все",$C491=Главная!$F$7)),$L491,"")</f>
        <v/>
      </c>
      <c r="P491" s="0" t="str">
        <f aca="false">IF(J491="Выполнено",ROW(),"")</f>
        <v/>
      </c>
    </row>
    <row r="492" customFormat="false" ht="21.75" hidden="false" customHeight="true" outlineLevel="0" collapsed="false">
      <c r="A492" s="31"/>
      <c r="B492" s="31"/>
      <c r="C492" s="32"/>
      <c r="D492" s="32"/>
      <c r="E492" s="33"/>
      <c r="F492" s="33"/>
      <c r="G492" s="32"/>
      <c r="H492" s="32"/>
      <c r="I492" s="31"/>
      <c r="J492" s="34" t="str">
        <f aca="true">IF(TRIM(A492)="","",IF(D492="Выполнено","Выполнено",IF(OR(C492="Срочно",AND(F492&lt;&gt;"",F492&lt;=TODAY())),"Срочные",IF(OR(D492="Отложено",C492="Низкий",AND(F492&lt;&gt;"",F492&gt;TODAY()+Справочники!$H$2)),"Плановые","Текущие"))))</f>
        <v/>
      </c>
      <c r="K492" s="35" t="str">
        <f aca="true">IF(OR(A492="",D492="Выполнено"),"",IF(F492="",IF(AND(G492&lt;&gt;"",G492&lt;&gt;"Разово"),"↻ "&amp;G492,""),IF(F492&lt;TODAY(),"Просрочено на "&amp;(TODAY()-F492)&amp;" дн.",IF(F492=TODAY(),"Сегодня",IF(F492=TODAY()+1,"Завтра","Через "&amp;(F492-TODAY())&amp;" дн.")))))</f>
        <v/>
      </c>
      <c r="L492" s="0" t="str">
        <f aca="true">IF(J492="","",(IF(AND(F492&lt;&gt;"",F492&lt;TODAY()),0,1)*10000000+IFERROR(MATCH(C492,{"Срочно","Высокий","Средний","Низкий"},0),5)*100000+IF(F492="",99999,F492))*1000+ROW())</f>
        <v/>
      </c>
      <c r="M492" s="0" t="str">
        <f aca="false">IF(AND($J492="Срочные",OR(Главная!$F$6="Все",$B492=Главная!$F$6),OR(Главная!$F$7="Все",$C492=Главная!$F$7)),$L492,"")</f>
        <v/>
      </c>
      <c r="N492" s="0" t="str">
        <f aca="false">IF(AND($J492="Текущие",OR(Главная!$F$6="Все",$B492=Главная!$F$6),OR(Главная!$F$7="Все",$C492=Главная!$F$7)),$L492,"")</f>
        <v/>
      </c>
      <c r="O492" s="0" t="str">
        <f aca="false">IF(AND($J492="Плановые",OR(Главная!$F$6="Все",$B492=Главная!$F$6),OR(Главная!$F$7="Все",$C492=Главная!$F$7)),$L492,"")</f>
        <v/>
      </c>
      <c r="P492" s="0" t="str">
        <f aca="false">IF(J492="Выполнено",ROW(),"")</f>
        <v/>
      </c>
    </row>
    <row r="493" customFormat="false" ht="21.75" hidden="false" customHeight="true" outlineLevel="0" collapsed="false">
      <c r="A493" s="31"/>
      <c r="B493" s="31"/>
      <c r="C493" s="32"/>
      <c r="D493" s="32"/>
      <c r="E493" s="33"/>
      <c r="F493" s="33"/>
      <c r="G493" s="32"/>
      <c r="H493" s="32"/>
      <c r="I493" s="31"/>
      <c r="J493" s="34" t="str">
        <f aca="true">IF(TRIM(A493)="","",IF(D493="Выполнено","Выполнено",IF(OR(C493="Срочно",AND(F493&lt;&gt;"",F493&lt;=TODAY())),"Срочные",IF(OR(D493="Отложено",C493="Низкий",AND(F493&lt;&gt;"",F493&gt;TODAY()+Справочники!$H$2)),"Плановые","Текущие"))))</f>
        <v/>
      </c>
      <c r="K493" s="35" t="str">
        <f aca="true">IF(OR(A493="",D493="Выполнено"),"",IF(F493="",IF(AND(G493&lt;&gt;"",G493&lt;&gt;"Разово"),"↻ "&amp;G493,""),IF(F493&lt;TODAY(),"Просрочено на "&amp;(TODAY()-F493)&amp;" дн.",IF(F493=TODAY(),"Сегодня",IF(F493=TODAY()+1,"Завтра","Через "&amp;(F493-TODAY())&amp;" дн.")))))</f>
        <v/>
      </c>
      <c r="L493" s="0" t="str">
        <f aca="true">IF(J493="","",(IF(AND(F493&lt;&gt;"",F493&lt;TODAY()),0,1)*10000000+IFERROR(MATCH(C493,{"Срочно","Высокий","Средний","Низкий"},0),5)*100000+IF(F493="",99999,F493))*1000+ROW())</f>
        <v/>
      </c>
      <c r="M493" s="0" t="str">
        <f aca="false">IF(AND($J493="Срочные",OR(Главная!$F$6="Все",$B493=Главная!$F$6),OR(Главная!$F$7="Все",$C493=Главная!$F$7)),$L493,"")</f>
        <v/>
      </c>
      <c r="N493" s="0" t="str">
        <f aca="false">IF(AND($J493="Текущие",OR(Главная!$F$6="Все",$B493=Главная!$F$6),OR(Главная!$F$7="Все",$C493=Главная!$F$7)),$L493,"")</f>
        <v/>
      </c>
      <c r="O493" s="0" t="str">
        <f aca="false">IF(AND($J493="Плановые",OR(Главная!$F$6="Все",$B493=Главная!$F$6),OR(Главная!$F$7="Все",$C493=Главная!$F$7)),$L493,"")</f>
        <v/>
      </c>
      <c r="P493" s="0" t="str">
        <f aca="false">IF(J493="Выполнено",ROW(),"")</f>
        <v/>
      </c>
    </row>
    <row r="494" customFormat="false" ht="21.75" hidden="false" customHeight="true" outlineLevel="0" collapsed="false">
      <c r="A494" s="31"/>
      <c r="B494" s="31"/>
      <c r="C494" s="32"/>
      <c r="D494" s="32"/>
      <c r="E494" s="33"/>
      <c r="F494" s="33"/>
      <c r="G494" s="32"/>
      <c r="H494" s="32"/>
      <c r="I494" s="31"/>
      <c r="J494" s="34" t="str">
        <f aca="true">IF(TRIM(A494)="","",IF(D494="Выполнено","Выполнено",IF(OR(C494="Срочно",AND(F494&lt;&gt;"",F494&lt;=TODAY())),"Срочные",IF(OR(D494="Отложено",C494="Низкий",AND(F494&lt;&gt;"",F494&gt;TODAY()+Справочники!$H$2)),"Плановые","Текущие"))))</f>
        <v/>
      </c>
      <c r="K494" s="35" t="str">
        <f aca="true">IF(OR(A494="",D494="Выполнено"),"",IF(F494="",IF(AND(G494&lt;&gt;"",G494&lt;&gt;"Разово"),"↻ "&amp;G494,""),IF(F494&lt;TODAY(),"Просрочено на "&amp;(TODAY()-F494)&amp;" дн.",IF(F494=TODAY(),"Сегодня",IF(F494=TODAY()+1,"Завтра","Через "&amp;(F494-TODAY())&amp;" дн.")))))</f>
        <v/>
      </c>
      <c r="L494" s="0" t="str">
        <f aca="true">IF(J494="","",(IF(AND(F494&lt;&gt;"",F494&lt;TODAY()),0,1)*10000000+IFERROR(MATCH(C494,{"Срочно","Высокий","Средний","Низкий"},0),5)*100000+IF(F494="",99999,F494))*1000+ROW())</f>
        <v/>
      </c>
      <c r="M494" s="0" t="str">
        <f aca="false">IF(AND($J494="Срочные",OR(Главная!$F$6="Все",$B494=Главная!$F$6),OR(Главная!$F$7="Все",$C494=Главная!$F$7)),$L494,"")</f>
        <v/>
      </c>
      <c r="N494" s="0" t="str">
        <f aca="false">IF(AND($J494="Текущие",OR(Главная!$F$6="Все",$B494=Главная!$F$6),OR(Главная!$F$7="Все",$C494=Главная!$F$7)),$L494,"")</f>
        <v/>
      </c>
      <c r="O494" s="0" t="str">
        <f aca="false">IF(AND($J494="Плановые",OR(Главная!$F$6="Все",$B494=Главная!$F$6),OR(Главная!$F$7="Все",$C494=Главная!$F$7)),$L494,"")</f>
        <v/>
      </c>
      <c r="P494" s="0" t="str">
        <f aca="false">IF(J494="Выполнено",ROW(),"")</f>
        <v/>
      </c>
    </row>
    <row r="495" customFormat="false" ht="21.75" hidden="false" customHeight="true" outlineLevel="0" collapsed="false">
      <c r="A495" s="31"/>
      <c r="B495" s="31"/>
      <c r="C495" s="32"/>
      <c r="D495" s="32"/>
      <c r="E495" s="33"/>
      <c r="F495" s="33"/>
      <c r="G495" s="32"/>
      <c r="H495" s="32"/>
      <c r="I495" s="31"/>
      <c r="J495" s="34" t="str">
        <f aca="true">IF(TRIM(A495)="","",IF(D495="Выполнено","Выполнено",IF(OR(C495="Срочно",AND(F495&lt;&gt;"",F495&lt;=TODAY())),"Срочные",IF(OR(D495="Отложено",C495="Низкий",AND(F495&lt;&gt;"",F495&gt;TODAY()+Справочники!$H$2)),"Плановые","Текущие"))))</f>
        <v/>
      </c>
      <c r="K495" s="35" t="str">
        <f aca="true">IF(OR(A495="",D495="Выполнено"),"",IF(F495="",IF(AND(G495&lt;&gt;"",G495&lt;&gt;"Разово"),"↻ "&amp;G495,""),IF(F495&lt;TODAY(),"Просрочено на "&amp;(TODAY()-F495)&amp;" дн.",IF(F495=TODAY(),"Сегодня",IF(F495=TODAY()+1,"Завтра","Через "&amp;(F495-TODAY())&amp;" дн.")))))</f>
        <v/>
      </c>
      <c r="L495" s="0" t="str">
        <f aca="true">IF(J495="","",(IF(AND(F495&lt;&gt;"",F495&lt;TODAY()),0,1)*10000000+IFERROR(MATCH(C495,{"Срочно","Высокий","Средний","Низкий"},0),5)*100000+IF(F495="",99999,F495))*1000+ROW())</f>
        <v/>
      </c>
      <c r="M495" s="0" t="str">
        <f aca="false">IF(AND($J495="Срочные",OR(Главная!$F$6="Все",$B495=Главная!$F$6),OR(Главная!$F$7="Все",$C495=Главная!$F$7)),$L495,"")</f>
        <v/>
      </c>
      <c r="N495" s="0" t="str">
        <f aca="false">IF(AND($J495="Текущие",OR(Главная!$F$6="Все",$B495=Главная!$F$6),OR(Главная!$F$7="Все",$C495=Главная!$F$7)),$L495,"")</f>
        <v/>
      </c>
      <c r="O495" s="0" t="str">
        <f aca="false">IF(AND($J495="Плановые",OR(Главная!$F$6="Все",$B495=Главная!$F$6),OR(Главная!$F$7="Все",$C495=Главная!$F$7)),$L495,"")</f>
        <v/>
      </c>
      <c r="P495" s="0" t="str">
        <f aca="false">IF(J495="Выполнено",ROW(),"")</f>
        <v/>
      </c>
    </row>
    <row r="496" customFormat="false" ht="21.75" hidden="false" customHeight="true" outlineLevel="0" collapsed="false">
      <c r="A496" s="31"/>
      <c r="B496" s="31"/>
      <c r="C496" s="32"/>
      <c r="D496" s="32"/>
      <c r="E496" s="33"/>
      <c r="F496" s="33"/>
      <c r="G496" s="32"/>
      <c r="H496" s="32"/>
      <c r="I496" s="31"/>
      <c r="J496" s="34" t="str">
        <f aca="true">IF(TRIM(A496)="","",IF(D496="Выполнено","Выполнено",IF(OR(C496="Срочно",AND(F496&lt;&gt;"",F496&lt;=TODAY())),"Срочные",IF(OR(D496="Отложено",C496="Низкий",AND(F496&lt;&gt;"",F496&gt;TODAY()+Справочники!$H$2)),"Плановые","Текущие"))))</f>
        <v/>
      </c>
      <c r="K496" s="35" t="str">
        <f aca="true">IF(OR(A496="",D496="Выполнено"),"",IF(F496="",IF(AND(G496&lt;&gt;"",G496&lt;&gt;"Разово"),"↻ "&amp;G496,""),IF(F496&lt;TODAY(),"Просрочено на "&amp;(TODAY()-F496)&amp;" дн.",IF(F496=TODAY(),"Сегодня",IF(F496=TODAY()+1,"Завтра","Через "&amp;(F496-TODAY())&amp;" дн.")))))</f>
        <v/>
      </c>
      <c r="L496" s="0" t="str">
        <f aca="true">IF(J496="","",(IF(AND(F496&lt;&gt;"",F496&lt;TODAY()),0,1)*10000000+IFERROR(MATCH(C496,{"Срочно","Высокий","Средний","Низкий"},0),5)*100000+IF(F496="",99999,F496))*1000+ROW())</f>
        <v/>
      </c>
      <c r="M496" s="0" t="str">
        <f aca="false">IF(AND($J496="Срочные",OR(Главная!$F$6="Все",$B496=Главная!$F$6),OR(Главная!$F$7="Все",$C496=Главная!$F$7)),$L496,"")</f>
        <v/>
      </c>
      <c r="N496" s="0" t="str">
        <f aca="false">IF(AND($J496="Текущие",OR(Главная!$F$6="Все",$B496=Главная!$F$6),OR(Главная!$F$7="Все",$C496=Главная!$F$7)),$L496,"")</f>
        <v/>
      </c>
      <c r="O496" s="0" t="str">
        <f aca="false">IF(AND($J496="Плановые",OR(Главная!$F$6="Все",$B496=Главная!$F$6),OR(Главная!$F$7="Все",$C496=Главная!$F$7)),$L496,"")</f>
        <v/>
      </c>
      <c r="P496" s="0" t="str">
        <f aca="false">IF(J496="Выполнено",ROW(),"")</f>
        <v/>
      </c>
    </row>
    <row r="497" customFormat="false" ht="21.75" hidden="false" customHeight="true" outlineLevel="0" collapsed="false">
      <c r="A497" s="31"/>
      <c r="B497" s="31"/>
      <c r="C497" s="32"/>
      <c r="D497" s="32"/>
      <c r="E497" s="33"/>
      <c r="F497" s="33"/>
      <c r="G497" s="32"/>
      <c r="H497" s="32"/>
      <c r="I497" s="31"/>
      <c r="J497" s="34" t="str">
        <f aca="true">IF(TRIM(A497)="","",IF(D497="Выполнено","Выполнено",IF(OR(C497="Срочно",AND(F497&lt;&gt;"",F497&lt;=TODAY())),"Срочные",IF(OR(D497="Отложено",C497="Низкий",AND(F497&lt;&gt;"",F497&gt;TODAY()+Справочники!$H$2)),"Плановые","Текущие"))))</f>
        <v/>
      </c>
      <c r="K497" s="35" t="str">
        <f aca="true">IF(OR(A497="",D497="Выполнено"),"",IF(F497="",IF(AND(G497&lt;&gt;"",G497&lt;&gt;"Разово"),"↻ "&amp;G497,""),IF(F497&lt;TODAY(),"Просрочено на "&amp;(TODAY()-F497)&amp;" дн.",IF(F497=TODAY(),"Сегодня",IF(F497=TODAY()+1,"Завтра","Через "&amp;(F497-TODAY())&amp;" дн.")))))</f>
        <v/>
      </c>
      <c r="L497" s="0" t="str">
        <f aca="true">IF(J497="","",(IF(AND(F497&lt;&gt;"",F497&lt;TODAY()),0,1)*10000000+IFERROR(MATCH(C497,{"Срочно","Высокий","Средний","Низкий"},0),5)*100000+IF(F497="",99999,F497))*1000+ROW())</f>
        <v/>
      </c>
      <c r="M497" s="0" t="str">
        <f aca="false">IF(AND($J497="Срочные",OR(Главная!$F$6="Все",$B497=Главная!$F$6),OR(Главная!$F$7="Все",$C497=Главная!$F$7)),$L497,"")</f>
        <v/>
      </c>
      <c r="N497" s="0" t="str">
        <f aca="false">IF(AND($J497="Текущие",OR(Главная!$F$6="Все",$B497=Главная!$F$6),OR(Главная!$F$7="Все",$C497=Главная!$F$7)),$L497,"")</f>
        <v/>
      </c>
      <c r="O497" s="0" t="str">
        <f aca="false">IF(AND($J497="Плановые",OR(Главная!$F$6="Все",$B497=Главная!$F$6),OR(Главная!$F$7="Все",$C497=Главная!$F$7)),$L497,"")</f>
        <v/>
      </c>
      <c r="P497" s="0" t="str">
        <f aca="false">IF(J497="Выполнено",ROW(),"")</f>
        <v/>
      </c>
    </row>
    <row r="498" customFormat="false" ht="21.75" hidden="false" customHeight="true" outlineLevel="0" collapsed="false">
      <c r="A498" s="31"/>
      <c r="B498" s="31"/>
      <c r="C498" s="32"/>
      <c r="D498" s="32"/>
      <c r="E498" s="33"/>
      <c r="F498" s="33"/>
      <c r="G498" s="32"/>
      <c r="H498" s="32"/>
      <c r="I498" s="31"/>
      <c r="J498" s="34" t="str">
        <f aca="true">IF(TRIM(A498)="","",IF(D498="Выполнено","Выполнено",IF(OR(C498="Срочно",AND(F498&lt;&gt;"",F498&lt;=TODAY())),"Срочные",IF(OR(D498="Отложено",C498="Низкий",AND(F498&lt;&gt;"",F498&gt;TODAY()+Справочники!$H$2)),"Плановые","Текущие"))))</f>
        <v/>
      </c>
      <c r="K498" s="35" t="str">
        <f aca="true">IF(OR(A498="",D498="Выполнено"),"",IF(F498="",IF(AND(G498&lt;&gt;"",G498&lt;&gt;"Разово"),"↻ "&amp;G498,""),IF(F498&lt;TODAY(),"Просрочено на "&amp;(TODAY()-F498)&amp;" дн.",IF(F498=TODAY(),"Сегодня",IF(F498=TODAY()+1,"Завтра","Через "&amp;(F498-TODAY())&amp;" дн.")))))</f>
        <v/>
      </c>
      <c r="L498" s="0" t="str">
        <f aca="true">IF(J498="","",(IF(AND(F498&lt;&gt;"",F498&lt;TODAY()),0,1)*10000000+IFERROR(MATCH(C498,{"Срочно","Высокий","Средний","Низкий"},0),5)*100000+IF(F498="",99999,F498))*1000+ROW())</f>
        <v/>
      </c>
      <c r="M498" s="0" t="str">
        <f aca="false">IF(AND($J498="Срочные",OR(Главная!$F$6="Все",$B498=Главная!$F$6),OR(Главная!$F$7="Все",$C498=Главная!$F$7)),$L498,"")</f>
        <v/>
      </c>
      <c r="N498" s="0" t="str">
        <f aca="false">IF(AND($J498="Текущие",OR(Главная!$F$6="Все",$B498=Главная!$F$6),OR(Главная!$F$7="Все",$C498=Главная!$F$7)),$L498,"")</f>
        <v/>
      </c>
      <c r="O498" s="0" t="str">
        <f aca="false">IF(AND($J498="Плановые",OR(Главная!$F$6="Все",$B498=Главная!$F$6),OR(Главная!$F$7="Все",$C498=Главная!$F$7)),$L498,"")</f>
        <v/>
      </c>
      <c r="P498" s="0" t="str">
        <f aca="false">IF(J498="Выполнено",ROW(),"")</f>
        <v/>
      </c>
    </row>
    <row r="499" customFormat="false" ht="21.75" hidden="false" customHeight="true" outlineLevel="0" collapsed="false">
      <c r="A499" s="31"/>
      <c r="B499" s="31"/>
      <c r="C499" s="32"/>
      <c r="D499" s="32"/>
      <c r="E499" s="33"/>
      <c r="F499" s="33"/>
      <c r="G499" s="32"/>
      <c r="H499" s="32"/>
      <c r="I499" s="31"/>
      <c r="J499" s="34" t="str">
        <f aca="true">IF(TRIM(A499)="","",IF(D499="Выполнено","Выполнено",IF(OR(C499="Срочно",AND(F499&lt;&gt;"",F499&lt;=TODAY())),"Срочные",IF(OR(D499="Отложено",C499="Низкий",AND(F499&lt;&gt;"",F499&gt;TODAY()+Справочники!$H$2)),"Плановые","Текущие"))))</f>
        <v/>
      </c>
      <c r="K499" s="35" t="str">
        <f aca="true">IF(OR(A499="",D499="Выполнено"),"",IF(F499="",IF(AND(G499&lt;&gt;"",G499&lt;&gt;"Разово"),"↻ "&amp;G499,""),IF(F499&lt;TODAY(),"Просрочено на "&amp;(TODAY()-F499)&amp;" дн.",IF(F499=TODAY(),"Сегодня",IF(F499=TODAY()+1,"Завтра","Через "&amp;(F499-TODAY())&amp;" дн.")))))</f>
        <v/>
      </c>
      <c r="L499" s="0" t="str">
        <f aca="true">IF(J499="","",(IF(AND(F499&lt;&gt;"",F499&lt;TODAY()),0,1)*10000000+IFERROR(MATCH(C499,{"Срочно","Высокий","Средний","Низкий"},0),5)*100000+IF(F499="",99999,F499))*1000+ROW())</f>
        <v/>
      </c>
      <c r="M499" s="0" t="str">
        <f aca="false">IF(AND($J499="Срочные",OR(Главная!$F$6="Все",$B499=Главная!$F$6),OR(Главная!$F$7="Все",$C499=Главная!$F$7)),$L499,"")</f>
        <v/>
      </c>
      <c r="N499" s="0" t="str">
        <f aca="false">IF(AND($J499="Текущие",OR(Главная!$F$6="Все",$B499=Главная!$F$6),OR(Главная!$F$7="Все",$C499=Главная!$F$7)),$L499,"")</f>
        <v/>
      </c>
      <c r="O499" s="0" t="str">
        <f aca="false">IF(AND($J499="Плановые",OR(Главная!$F$6="Все",$B499=Главная!$F$6),OR(Главная!$F$7="Все",$C499=Главная!$F$7)),$L499,"")</f>
        <v/>
      </c>
      <c r="P499" s="0" t="str">
        <f aca="false">IF(J499="Выполнено",ROW(),"")</f>
        <v/>
      </c>
    </row>
    <row r="500" customFormat="false" ht="21.75" hidden="false" customHeight="true" outlineLevel="0" collapsed="false">
      <c r="A500" s="31"/>
      <c r="B500" s="31"/>
      <c r="C500" s="32"/>
      <c r="D500" s="32"/>
      <c r="E500" s="33"/>
      <c r="F500" s="33"/>
      <c r="G500" s="32"/>
      <c r="H500" s="32"/>
      <c r="I500" s="31"/>
      <c r="J500" s="34" t="str">
        <f aca="true">IF(TRIM(A500)="","",IF(D500="Выполнено","Выполнено",IF(OR(C500="Срочно",AND(F500&lt;&gt;"",F500&lt;=TODAY())),"Срочные",IF(OR(D500="Отложено",C500="Низкий",AND(F500&lt;&gt;"",F500&gt;TODAY()+Справочники!$H$2)),"Плановые","Текущие"))))</f>
        <v/>
      </c>
      <c r="K500" s="35" t="str">
        <f aca="true">IF(OR(A500="",D500="Выполнено"),"",IF(F500="",IF(AND(G500&lt;&gt;"",G500&lt;&gt;"Разово"),"↻ "&amp;G500,""),IF(F500&lt;TODAY(),"Просрочено на "&amp;(TODAY()-F500)&amp;" дн.",IF(F500=TODAY(),"Сегодня",IF(F500=TODAY()+1,"Завтра","Через "&amp;(F500-TODAY())&amp;" дн.")))))</f>
        <v/>
      </c>
      <c r="L500" s="0" t="str">
        <f aca="true">IF(J500="","",(IF(AND(F500&lt;&gt;"",F500&lt;TODAY()),0,1)*10000000+IFERROR(MATCH(C500,{"Срочно","Высокий","Средний","Низкий"},0),5)*100000+IF(F500="",99999,F500))*1000+ROW())</f>
        <v/>
      </c>
      <c r="M500" s="0" t="str">
        <f aca="false">IF(AND($J500="Срочные",OR(Главная!$F$6="Все",$B500=Главная!$F$6),OR(Главная!$F$7="Все",$C500=Главная!$F$7)),$L500,"")</f>
        <v/>
      </c>
      <c r="N500" s="0" t="str">
        <f aca="false">IF(AND($J500="Текущие",OR(Главная!$F$6="Все",$B500=Главная!$F$6),OR(Главная!$F$7="Все",$C500=Главная!$F$7)),$L500,"")</f>
        <v/>
      </c>
      <c r="O500" s="0" t="str">
        <f aca="false">IF(AND($J500="Плановые",OR(Главная!$F$6="Все",$B500=Главная!$F$6),OR(Главная!$F$7="Все",$C500=Главная!$F$7)),$L500,"")</f>
        <v/>
      </c>
      <c r="P500" s="0" t="str">
        <f aca="false">IF(J500="Выполнено",ROW(),"")</f>
        <v/>
      </c>
    </row>
    <row r="501" customFormat="false" ht="21.75" hidden="false" customHeight="true" outlineLevel="0" collapsed="false">
      <c r="A501" s="31"/>
      <c r="B501" s="31"/>
      <c r="C501" s="32"/>
      <c r="D501" s="32"/>
      <c r="E501" s="33"/>
      <c r="F501" s="33"/>
      <c r="G501" s="32"/>
      <c r="H501" s="32"/>
      <c r="I501" s="31"/>
      <c r="J501" s="34" t="str">
        <f aca="true">IF(TRIM(A501)="","",IF(D501="Выполнено","Выполнено",IF(OR(C501="Срочно",AND(F501&lt;&gt;"",F501&lt;=TODAY())),"Срочные",IF(OR(D501="Отложено",C501="Низкий",AND(F501&lt;&gt;"",F501&gt;TODAY()+Справочники!$H$2)),"Плановые","Текущие"))))</f>
        <v/>
      </c>
      <c r="K501" s="35" t="str">
        <f aca="true">IF(OR(A501="",D501="Выполнено"),"",IF(F501="",IF(AND(G501&lt;&gt;"",G501&lt;&gt;"Разово"),"↻ "&amp;G501,""),IF(F501&lt;TODAY(),"Просрочено на "&amp;(TODAY()-F501)&amp;" дн.",IF(F501=TODAY(),"Сегодня",IF(F501=TODAY()+1,"Завтра","Через "&amp;(F501-TODAY())&amp;" дн.")))))</f>
        <v/>
      </c>
      <c r="L501" s="0" t="str">
        <f aca="true">IF(J501="","",(IF(AND(F501&lt;&gt;"",F501&lt;TODAY()),0,1)*10000000+IFERROR(MATCH(C501,{"Срочно","Высокий","Средний","Низкий"},0),5)*100000+IF(F501="",99999,F501))*1000+ROW())</f>
        <v/>
      </c>
      <c r="M501" s="0" t="str">
        <f aca="false">IF(AND($J501="Срочные",OR(Главная!$F$6="Все",$B501=Главная!$F$6),OR(Главная!$F$7="Все",$C501=Главная!$F$7)),$L501,"")</f>
        <v/>
      </c>
      <c r="N501" s="0" t="str">
        <f aca="false">IF(AND($J501="Текущие",OR(Главная!$F$6="Все",$B501=Главная!$F$6),OR(Главная!$F$7="Все",$C501=Главная!$F$7)),$L501,"")</f>
        <v/>
      </c>
      <c r="O501" s="0" t="str">
        <f aca="false">IF(AND($J501="Плановые",OR(Главная!$F$6="Все",$B501=Главная!$F$6),OR(Главная!$F$7="Все",$C501=Главная!$F$7)),$L501,"")</f>
        <v/>
      </c>
      <c r="P501" s="0" t="str">
        <f aca="false">IF(J501="Выполнено",ROW(),"")</f>
        <v/>
      </c>
    </row>
  </sheetData>
  <autoFilter ref="A1:K501"/>
  <conditionalFormatting sqref="A2:K501">
    <cfRule type="expression" priority="2" aboveAverage="0" equalAverage="0" bottom="0" percent="0" rank="0" text="" dxfId="28">
      <formula>$D2="Выполнено"</formula>
    </cfRule>
    <cfRule type="expression" priority="3" aboveAverage="0" equalAverage="0" bottom="0" percent="0" rank="0" text="" dxfId="29">
      <formula>AND($A2&lt;&gt;"",$F2&lt;&gt;"",$F2&lt;TODAY(),$D2&lt;&gt;"Выполнено")</formula>
    </cfRule>
  </conditionalFormatting>
  <conditionalFormatting sqref="F2:F501">
    <cfRule type="expression" priority="4" aboveAverage="0" equalAverage="0" bottom="0" percent="0" rank="0" text="" dxfId="30">
      <formula>AND($A2&lt;&gt;"",$F2&lt;&gt;"",$F2&lt;TODAY(),$D2&lt;&gt;"Выполнено")</formula>
    </cfRule>
    <cfRule type="expression" priority="5" aboveAverage="0" equalAverage="0" bottom="0" percent="0" rank="0" text="" dxfId="31">
      <formula>AND($A2&lt;&gt;"",$F2&lt;&gt;"",$F2&gt;=TODAY(),$F2&lt;=TODAY()+1,$D2&lt;&gt;"Выполнено")</formula>
    </cfRule>
  </conditionalFormatting>
  <conditionalFormatting sqref="K2:K501">
    <cfRule type="expression" priority="6" aboveAverage="0" equalAverage="0" bottom="0" percent="0" rank="0" text="" dxfId="30">
      <formula>AND($A2&lt;&gt;"",$F2&lt;&gt;"",$F2&lt;TODAY(),$D2&lt;&gt;"Выполнено")</formula>
    </cfRule>
  </conditionalFormatting>
  <conditionalFormatting sqref="C2:C501">
    <cfRule type="expression" priority="7" aboveAverage="0" equalAverage="0" bottom="0" percent="0" rank="0" text="" dxfId="2">
      <formula>$C2="Срочно"</formula>
    </cfRule>
    <cfRule type="expression" priority="8" aboveAverage="0" equalAverage="0" bottom="0" percent="0" rank="0" text="" dxfId="3">
      <formula>$C2="Высокий"</formula>
    </cfRule>
    <cfRule type="expression" priority="9" aboveAverage="0" equalAverage="0" bottom="0" percent="0" rank="0" text="" dxfId="4">
      <formula>$C2="Средний"</formula>
    </cfRule>
    <cfRule type="expression" priority="10" aboveAverage="0" equalAverage="0" bottom="0" percent="0" rank="0" text="" dxfId="5">
      <formula>$C2="Низкий"</formula>
    </cfRule>
  </conditionalFormatting>
  <conditionalFormatting sqref="D2:D501">
    <cfRule type="expression" priority="11" aboveAverage="0" equalAverage="0" bottom="0" percent="0" rank="0" text="" dxfId="6">
      <formula>$D2="В работе"</formula>
    </cfRule>
    <cfRule type="expression" priority="12" aboveAverage="0" equalAverage="0" bottom="0" percent="0" rank="0" text="" dxfId="4">
      <formula>$D2="Ожидает"</formula>
    </cfRule>
    <cfRule type="expression" priority="13" aboveAverage="0" equalAverage="0" bottom="0" percent="0" rank="0" text="" dxfId="7">
      <formula>$D2="Отложено"</formula>
    </cfRule>
    <cfRule type="expression" priority="14" aboveAverage="0" equalAverage="0" bottom="0" percent="0" rank="0" text="" dxfId="8">
      <formula>$D2="Выполнено"</formula>
    </cfRule>
  </conditionalFormatting>
  <dataValidations count="6">
    <dataValidation allowBlank="true" errorStyle="stop" operator="between" showDropDown="false" showErrorMessage="false" showInputMessage="false" sqref="B2:B501" type="list">
      <formula1>Справочники!$A$2:$A$16</formula1>
      <formula2>0</formula2>
    </dataValidation>
    <dataValidation allowBlank="true" error="Выберите значение из списка" errorStyle="stop" errorTitle="Приоритет" operator="between" showDropDown="false" showErrorMessage="true" showInputMessage="false" sqref="C2:C501" type="list">
      <formula1>Справочники!$B$2:$B$5</formula1>
      <formula2>0</formula2>
    </dataValidation>
    <dataValidation allowBlank="true" error="Выберите значение из списка" errorStyle="stop" errorTitle="Статус" operator="between" showDropDown="false" showErrorMessage="true" showInputMessage="false" sqref="D2:D501" type="list">
      <formula1>Справочники!$C$2:$C$6</formula1>
      <formula2>0</formula2>
    </dataValidation>
    <dataValidation allowBlank="true" error="Выберите значение из списка" errorStyle="stop" errorTitle="Повтор" operator="between" showDropDown="false" showErrorMessage="true" showInputMessage="false" sqref="G2:G501" type="list">
      <formula1>Справочники!$D$2:$D$5</formula1>
      <formula2>0</formula2>
    </dataValidation>
    <dataValidation allowBlank="true" errorStyle="stop" operator="between" showDropDown="false" showErrorMessage="false" showInputMessage="false" sqref="H2:H501" type="list">
      <formula1>Справочники!$E$2:$E$11</formula1>
      <formula2>0</formula2>
    </dataValidation>
    <dataValidation allowBlank="true" error="Введите дату, например 15.10.2026" errorStyle="stop" errorTitle="Дата" operator="greaterThan" showDropDown="false" showErrorMessage="true" showInputMessage="false" sqref="E2:F501" type="date">
      <formula1>43831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94A3"/>
    <pageSetUpPr fitToPage="true"/>
  </sheetPr>
  <dimension ref="A1:H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52"/>
    <col collapsed="false" customWidth="true" hidden="false" outlineLevel="0" max="8" min="8" style="0" width="6"/>
  </cols>
  <sheetData>
    <row r="1" customFormat="false" ht="27.75" hidden="false" customHeight="true" outlineLevel="0" collapsed="false">
      <c r="A1" s="37" t="s">
        <v>109</v>
      </c>
    </row>
    <row r="2" customFormat="false" ht="15" hidden="false" customHeight="false" outlineLevel="0" collapsed="false">
      <c r="A2" s="8" t="str">
        <f aca="false">"Всего выполнено: "&amp;COUNT(Задачи!$P$2:$P$501)</f>
        <v>Всего выполнено: 8</v>
      </c>
    </row>
    <row r="3" customFormat="false" ht="15" hidden="false" customHeight="false" outlineLevel="0" collapsed="false">
      <c r="A3" s="4" t="s">
        <v>110</v>
      </c>
    </row>
    <row r="4" customFormat="false" ht="30" hidden="false" customHeight="true" outlineLevel="0" collapsed="false">
      <c r="A4" s="38" t="s">
        <v>111</v>
      </c>
      <c r="B4" s="38" t="s">
        <v>19</v>
      </c>
      <c r="C4" s="38" t="s">
        <v>6</v>
      </c>
      <c r="D4" s="38" t="s">
        <v>9</v>
      </c>
      <c r="E4" s="38" t="s">
        <v>26</v>
      </c>
      <c r="F4" s="38" t="s">
        <v>21</v>
      </c>
      <c r="G4" s="38" t="s">
        <v>23</v>
      </c>
      <c r="H4" s="38" t="s">
        <v>24</v>
      </c>
    </row>
    <row r="5" customFormat="false" ht="30" hidden="false" customHeight="true" outlineLevel="0" collapsed="false">
      <c r="A5" s="39" t="n">
        <f aca="false">IF($H5="","",ROWS(A$5:A5))</f>
        <v>1</v>
      </c>
      <c r="B5" s="40" t="str">
        <f aca="false">IF($H5="","",INDEX(Задачи!$A$1:$A$501,$H5)&amp;"")</f>
        <v>Телефония взять в контроль,оплата через Гульжайны</v>
      </c>
      <c r="C5" s="40" t="str">
        <f aca="false">IF($H5="","",INDEX(Задачи!$B$1:$B$501,$H5)&amp;"")</f>
        <v>Оптовка</v>
      </c>
      <c r="D5" s="39" t="str">
        <f aca="false">IF($H5="","",INDEX(Задачи!$C$1:$C$501,$H5)&amp;"")</f>
        <v>Срочно</v>
      </c>
      <c r="E5" s="41" t="str">
        <f aca="false">IF($H5="","",IF(INDEX(Задачи!$E$1:$E$501,$H5)="","",INDEX(Задачи!$E$1:$E$501,$H5)))</f>
        <v/>
      </c>
      <c r="F5" s="41" t="n">
        <f aca="false">IF($H5="","",IF(INDEX(Задачи!$F$1:$F$501,$H5)="","",INDEX(Задачи!$F$1:$F$501,$H5)))</f>
        <v>46302</v>
      </c>
      <c r="G5" s="40" t="str">
        <f aca="false">IF($H5="","",INDEX(Задачи!$I$1:$I$501,$H5)&amp;"")</f>
        <v/>
      </c>
      <c r="H5" s="20" t="n">
        <f aca="false">IFERROR(MOD(LARGE(Задачи!$P$2:$P$501,ROWS(H$5:H5)),1000),"")</f>
        <v>23</v>
      </c>
    </row>
    <row r="6" customFormat="false" ht="30" hidden="false" customHeight="true" outlineLevel="0" collapsed="false">
      <c r="A6" s="39" t="n">
        <f aca="false">IF($H6="","",ROWS(A$5:A6))</f>
        <v>2</v>
      </c>
      <c r="B6" s="40" t="str">
        <f aca="false">IF($H6="","",INDEX(Задачи!$A$1:$A$501,$H6)&amp;"")</f>
        <v>Задача РОПу списов сотрудников графиков отправить</v>
      </c>
      <c r="C6" s="40" t="str">
        <f aca="false">IF($H6="","",INDEX(Задачи!$B$1:$B$501,$H6)&amp;"")</f>
        <v>Оптовка</v>
      </c>
      <c r="D6" s="39" t="str">
        <f aca="false">IF($H6="","",INDEX(Задачи!$C$1:$C$501,$H6)&amp;"")</f>
        <v>Высокий</v>
      </c>
      <c r="E6" s="41" t="str">
        <f aca="false">IF($H6="","",IF(INDEX(Задачи!$E$1:$E$501,$H6)="","",INDEX(Задачи!$E$1:$E$501,$H6)))</f>
        <v/>
      </c>
      <c r="F6" s="41" t="n">
        <f aca="false">IF($H6="","",IF(INDEX(Задачи!$F$1:$F$501,$H6)="","",INDEX(Задачи!$F$1:$F$501,$H6)))</f>
        <v>46301</v>
      </c>
      <c r="G6" s="40" t="str">
        <f aca="false">IF($H6="","",INDEX(Задачи!$I$1:$I$501,$H6)&amp;"")</f>
        <v/>
      </c>
      <c r="H6" s="20" t="n">
        <f aca="false">IFERROR(MOD(LARGE(Задачи!$P$2:$P$501,ROWS(H$5:H6)),1000),"")</f>
        <v>22</v>
      </c>
    </row>
    <row r="7" customFormat="false" ht="30" hidden="false" customHeight="true" outlineLevel="0" collapsed="false">
      <c r="A7" s="39" t="n">
        <f aca="false">IF($H7="","",ROWS(A$5:A7))</f>
        <v>3</v>
      </c>
      <c r="B7" s="40" t="str">
        <f aca="false">IF($H7="","",INDEX(Задачи!$A$1:$A$501,$H7)&amp;"")</f>
        <v>Решить вопрос по Алтел, сделать с компанией доп соглашение,купить тариф,заменить все старые номера</v>
      </c>
      <c r="C7" s="40" t="str">
        <f aca="false">IF($H7="","",INDEX(Задачи!$B$1:$B$501,$H7)&amp;"")</f>
        <v>Управление</v>
      </c>
      <c r="D7" s="39" t="str">
        <f aca="false">IF($H7="","",INDEX(Задачи!$C$1:$C$501,$H7)&amp;"")</f>
        <v>Срочно</v>
      </c>
      <c r="E7" s="41" t="str">
        <f aca="false">IF($H7="","",IF(INDEX(Задачи!$E$1:$E$501,$H7)="","",INDEX(Задачи!$E$1:$E$501,$H7)))</f>
        <v/>
      </c>
      <c r="F7" s="41" t="n">
        <f aca="false">IF($H7="","",IF(INDEX(Задачи!$F$1:$F$501,$H7)="","",INDEX(Задачи!$F$1:$F$501,$H7)))</f>
        <v>46301</v>
      </c>
      <c r="G7" s="40" t="str">
        <f aca="false">IF($H7="","",INDEX(Задачи!$I$1:$I$501,$H7)&amp;"")</f>
        <v/>
      </c>
      <c r="H7" s="20" t="n">
        <f aca="false">IFERROR(MOD(LARGE(Задачи!$P$2:$P$501,ROWS(H$5:H7)),1000),"")</f>
        <v>21</v>
      </c>
    </row>
    <row r="8" customFormat="false" ht="30" hidden="false" customHeight="true" outlineLevel="0" collapsed="false">
      <c r="A8" s="39" t="n">
        <f aca="false">IF($H8="","",ROWS(A$5:A8))</f>
        <v>4</v>
      </c>
      <c r="B8" s="40" t="str">
        <f aca="false">IF($H8="","",INDEX(Задачи!$A$1:$A$501,$H8)&amp;"")</f>
        <v>Страхование компаний ТМЦ, надо найти компании, от Гульзиры бух спросить анкету</v>
      </c>
      <c r="C8" s="40" t="str">
        <f aca="false">IF($H8="","",INDEX(Задачи!$B$1:$B$501,$H8)&amp;"")</f>
        <v>Управление</v>
      </c>
      <c r="D8" s="39" t="str">
        <f aca="false">IF($H8="","",INDEX(Задачи!$C$1:$C$501,$H8)&amp;"")</f>
        <v>Срочно</v>
      </c>
      <c r="E8" s="41" t="str">
        <f aca="false">IF($H8="","",IF(INDEX(Задачи!$E$1:$E$501,$H8)="","",INDEX(Задачи!$E$1:$E$501,$H8)))</f>
        <v/>
      </c>
      <c r="F8" s="41" t="n">
        <f aca="false">IF($H8="","",IF(INDEX(Задачи!$F$1:$F$501,$H8)="","",INDEX(Задачи!$F$1:$F$501,$H8)))</f>
        <v>46302</v>
      </c>
      <c r="G8" s="40" t="str">
        <f aca="false">IF($H8="","",INDEX(Задачи!$I$1:$I$501,$H8)&amp;"")</f>
        <v>приедут две компании на осмотр объекта сегодня
Шеф: ждем ответ от Евразия Номад Аманат КП, до Халыка не дозвонилась</v>
      </c>
      <c r="H8" s="20" t="n">
        <f aca="false">IFERROR(MOD(LARGE(Задачи!$P$2:$P$501,ROWS(H$5:H8)),1000),"")</f>
        <v>17</v>
      </c>
    </row>
    <row r="9" customFormat="false" ht="30" hidden="false" customHeight="true" outlineLevel="0" collapsed="false">
      <c r="A9" s="39" t="n">
        <f aca="false">IF($H9="","",ROWS(A$5:A9))</f>
        <v>5</v>
      </c>
      <c r="B9" s="40" t="str">
        <f aca="false">IF($H9="","",INDEX(Задачи!$A$1:$A$501,$H9)&amp;"")</f>
        <v>Закончить мотивационную систему сотрудников</v>
      </c>
      <c r="C9" s="40" t="str">
        <f aca="false">IF($H9="","",INDEX(Задачи!$B$1:$B$501,$H9)&amp;"")</f>
        <v>Продажи / управление</v>
      </c>
      <c r="D9" s="39" t="str">
        <f aca="false">IF($H9="","",INDEX(Задачи!$C$1:$C$501,$H9)&amp;"")</f>
        <v>Срочно</v>
      </c>
      <c r="E9" s="41" t="str">
        <f aca="false">IF($H9="","",IF(INDEX(Задачи!$E$1:$E$501,$H9)="","",INDEX(Задачи!$E$1:$E$501,$H9)))</f>
        <v/>
      </c>
      <c r="F9" s="41" t="n">
        <f aca="false">IF($H9="","",IF(INDEX(Задачи!$F$1:$F$501,$H9)="","",INDEX(Задачи!$F$1:$F$501,$H9)))</f>
        <v>46301</v>
      </c>
      <c r="G9" s="40" t="str">
        <f aca="false">IF($H9="","",INDEX(Задачи!$I$1:$I$501,$H9)&amp;"")</f>
        <v/>
      </c>
      <c r="H9" s="20" t="n">
        <f aca="false">IFERROR(MOD(LARGE(Задачи!$P$2:$P$501,ROWS(H$5:H9)),1000),"")</f>
        <v>12</v>
      </c>
    </row>
    <row r="10" customFormat="false" ht="30" hidden="false" customHeight="true" outlineLevel="0" collapsed="false">
      <c r="A10" s="39" t="n">
        <f aca="false">IF($H10="","",ROWS(A$5:A10))</f>
        <v>6</v>
      </c>
      <c r="B10" s="40" t="str">
        <f aca="false">IF($H10="","",INDEX(Задачи!$A$1:$A$501,$H10)&amp;"")</f>
        <v>Поиск маркетолога</v>
      </c>
      <c r="C10" s="40" t="str">
        <f aca="false">IF($H10="","",INDEX(Задачи!$B$1:$B$501,$H10)&amp;"")</f>
        <v>Найм</v>
      </c>
      <c r="D10" s="39" t="str">
        <f aca="false">IF($H10="","",INDEX(Задачи!$C$1:$C$501,$H10)&amp;"")</f>
        <v>Высокий</v>
      </c>
      <c r="E10" s="41" t="str">
        <f aca="false">IF($H10="","",IF(INDEX(Задачи!$E$1:$E$501,$H10)="","",INDEX(Задачи!$E$1:$E$501,$H10)))</f>
        <v/>
      </c>
      <c r="F10" s="41" t="n">
        <f aca="false">IF($H10="","",IF(INDEX(Задачи!$F$1:$F$501,$H10)="","",INDEX(Задачи!$F$1:$F$501,$H10)))</f>
        <v>46301</v>
      </c>
      <c r="G10" s="40" t="str">
        <f aca="false">IF($H10="","",INDEX(Задачи!$I$1:$I$501,$H10)&amp;"")</f>
        <v>ждем ответа с 12 го октября выйдет на работу</v>
      </c>
      <c r="H10" s="20" t="n">
        <f aca="false">IFERROR(MOD(LARGE(Задачи!$P$2:$P$501,ROWS(H$5:H10)),1000),"")</f>
        <v>9</v>
      </c>
    </row>
    <row r="11" customFormat="false" ht="30" hidden="false" customHeight="true" outlineLevel="0" collapsed="false">
      <c r="A11" s="39" t="n">
        <f aca="false">IF($H11="","",ROWS(A$5:A11))</f>
        <v>7</v>
      </c>
      <c r="B11" s="40" t="str">
        <f aca="false">IF($H11="","",INDEX(Задачи!$A$1:$A$501,$H11)&amp;"")</f>
        <v>Разместить / обновить объявление на Krisha.kz по промбазе / по Таргету</v>
      </c>
      <c r="C11" s="40" t="str">
        <f aca="false">IF($H11="","",INDEX(Задачи!$B$1:$B$501,$H11)&amp;"")</f>
        <v>Промбаза</v>
      </c>
      <c r="D11" s="39" t="str">
        <f aca="false">IF($H11="","",INDEX(Задачи!$C$1:$C$501,$H11)&amp;"")</f>
        <v>Высокий</v>
      </c>
      <c r="E11" s="41" t="str">
        <f aca="false">IF($H11="","",IF(INDEX(Задачи!$E$1:$E$501,$H11)="","",INDEX(Задачи!$E$1:$E$501,$H11)))</f>
        <v/>
      </c>
      <c r="F11" s="41" t="n">
        <f aca="false">IF($H11="","",IF(INDEX(Задачи!$F$1:$F$501,$H11)="","",INDEX(Задачи!$F$1:$F$501,$H11)))</f>
        <v>46301</v>
      </c>
      <c r="G11" s="40" t="str">
        <f aca="false">IF($H11="","",INDEX(Задачи!$I$1:$I$501,$H11)&amp;"")</f>
        <v/>
      </c>
      <c r="H11" s="20" t="n">
        <f aca="false">IFERROR(MOD(LARGE(Задачи!$P$2:$P$501,ROWS(H$5:H11)),1000),"")</f>
        <v>3</v>
      </c>
    </row>
    <row r="12" customFormat="false" ht="30" hidden="false" customHeight="true" outlineLevel="0" collapsed="false">
      <c r="A12" s="39" t="n">
        <f aca="false">IF($H12="","",ROWS(A$5:A12))</f>
        <v>8</v>
      </c>
      <c r="B12" s="40" t="str">
        <f aca="false">IF($H12="","",INDEX(Задачи!$A$1:$A$501,$H12)&amp;"")</f>
        <v>Проверить и улучшить объявление промбазы на Krisha.kz</v>
      </c>
      <c r="C12" s="40" t="str">
        <f aca="false">IF($H12="","",INDEX(Задачи!$B$1:$B$501,$H12)&amp;"")</f>
        <v>Промбаза</v>
      </c>
      <c r="D12" s="39" t="str">
        <f aca="false">IF($H12="","",INDEX(Задачи!$C$1:$C$501,$H12)&amp;"")</f>
        <v>Высокий</v>
      </c>
      <c r="E12" s="41" t="str">
        <f aca="false">IF($H12="","",IF(INDEX(Задачи!$E$1:$E$501,$H12)="","",INDEX(Задачи!$E$1:$E$501,$H12)))</f>
        <v/>
      </c>
      <c r="F12" s="41" t="str">
        <f aca="false">IF($H12="","",IF(INDEX(Задачи!$F$1:$F$501,$H12)="","",INDEX(Задачи!$F$1:$F$501,$H12)))</f>
        <v/>
      </c>
      <c r="G12" s="40" t="str">
        <f aca="false">IF($H12="","",INDEX(Задачи!$I$1:$I$501,$H12)&amp;"")</f>
        <v/>
      </c>
      <c r="H12" s="20" t="n">
        <f aca="false">IFERROR(MOD(LARGE(Задачи!$P$2:$P$501,ROWS(H$5:H12)),1000),"")</f>
        <v>2</v>
      </c>
    </row>
    <row r="13" customFormat="false" ht="30" hidden="false" customHeight="true" outlineLevel="0" collapsed="false">
      <c r="A13" s="39" t="str">
        <f aca="false">IF($H13="","",ROWS(A$5:A13))</f>
        <v/>
      </c>
      <c r="B13" s="40" t="str">
        <f aca="false">IF($H13="","",INDEX(Задачи!$A$1:$A$501,$H13)&amp;"")</f>
        <v/>
      </c>
      <c r="C13" s="40" t="str">
        <f aca="false">IF($H13="","",INDEX(Задачи!$B$1:$B$501,$H13)&amp;"")</f>
        <v/>
      </c>
      <c r="D13" s="39" t="str">
        <f aca="false">IF($H13="","",INDEX(Задачи!$C$1:$C$501,$H13)&amp;"")</f>
        <v/>
      </c>
      <c r="E13" s="41" t="str">
        <f aca="false">IF($H13="","",IF(INDEX(Задачи!$E$1:$E$501,$H13)="","",INDEX(Задачи!$E$1:$E$501,$H13)))</f>
        <v/>
      </c>
      <c r="F13" s="41" t="str">
        <f aca="false">IF($H13="","",IF(INDEX(Задачи!$F$1:$F$501,$H13)="","",INDEX(Задачи!$F$1:$F$501,$H13)))</f>
        <v/>
      </c>
      <c r="G13" s="40" t="str">
        <f aca="false">IF($H13="","",INDEX(Задачи!$I$1:$I$501,$H13)&amp;"")</f>
        <v/>
      </c>
      <c r="H13" s="20" t="str">
        <f aca="false">IFERROR(MOD(LARGE(Задачи!$P$2:$P$501,ROWS(H$5:H13)),1000),"")</f>
        <v/>
      </c>
    </row>
    <row r="14" customFormat="false" ht="30" hidden="false" customHeight="true" outlineLevel="0" collapsed="false">
      <c r="A14" s="39" t="str">
        <f aca="false">IF($H14="","",ROWS(A$5:A14))</f>
        <v/>
      </c>
      <c r="B14" s="40" t="str">
        <f aca="false">IF($H14="","",INDEX(Задачи!$A$1:$A$501,$H14)&amp;"")</f>
        <v/>
      </c>
      <c r="C14" s="40" t="str">
        <f aca="false">IF($H14="","",INDEX(Задачи!$B$1:$B$501,$H14)&amp;"")</f>
        <v/>
      </c>
      <c r="D14" s="39" t="str">
        <f aca="false">IF($H14="","",INDEX(Задачи!$C$1:$C$501,$H14)&amp;"")</f>
        <v/>
      </c>
      <c r="E14" s="41" t="str">
        <f aca="false">IF($H14="","",IF(INDEX(Задачи!$E$1:$E$501,$H14)="","",INDEX(Задачи!$E$1:$E$501,$H14)))</f>
        <v/>
      </c>
      <c r="F14" s="41" t="str">
        <f aca="false">IF($H14="","",IF(INDEX(Задачи!$F$1:$F$501,$H14)="","",INDEX(Задачи!$F$1:$F$501,$H14)))</f>
        <v/>
      </c>
      <c r="G14" s="40" t="str">
        <f aca="false">IF($H14="","",INDEX(Задачи!$I$1:$I$501,$H14)&amp;"")</f>
        <v/>
      </c>
      <c r="H14" s="20" t="str">
        <f aca="false">IFERROR(MOD(LARGE(Задачи!$P$2:$P$501,ROWS(H$5:H14)),1000),"")</f>
        <v/>
      </c>
    </row>
    <row r="15" customFormat="false" ht="30" hidden="false" customHeight="true" outlineLevel="0" collapsed="false">
      <c r="A15" s="39" t="str">
        <f aca="false">IF($H15="","",ROWS(A$5:A15))</f>
        <v/>
      </c>
      <c r="B15" s="40" t="str">
        <f aca="false">IF($H15="","",INDEX(Задачи!$A$1:$A$501,$H15)&amp;"")</f>
        <v/>
      </c>
      <c r="C15" s="40" t="str">
        <f aca="false">IF($H15="","",INDEX(Задачи!$B$1:$B$501,$H15)&amp;"")</f>
        <v/>
      </c>
      <c r="D15" s="39" t="str">
        <f aca="false">IF($H15="","",INDEX(Задачи!$C$1:$C$501,$H15)&amp;"")</f>
        <v/>
      </c>
      <c r="E15" s="41" t="str">
        <f aca="false">IF($H15="","",IF(INDEX(Задачи!$E$1:$E$501,$H15)="","",INDEX(Задачи!$E$1:$E$501,$H15)))</f>
        <v/>
      </c>
      <c r="F15" s="41" t="str">
        <f aca="false">IF($H15="","",IF(INDEX(Задачи!$F$1:$F$501,$H15)="","",INDEX(Задачи!$F$1:$F$501,$H15)))</f>
        <v/>
      </c>
      <c r="G15" s="40" t="str">
        <f aca="false">IF($H15="","",INDEX(Задачи!$I$1:$I$501,$H15)&amp;"")</f>
        <v/>
      </c>
      <c r="H15" s="20" t="str">
        <f aca="false">IFERROR(MOD(LARGE(Задачи!$P$2:$P$501,ROWS(H$5:H15)),1000),"")</f>
        <v/>
      </c>
    </row>
    <row r="16" customFormat="false" ht="30" hidden="false" customHeight="true" outlineLevel="0" collapsed="false">
      <c r="A16" s="39" t="str">
        <f aca="false">IF($H16="","",ROWS(A$5:A16))</f>
        <v/>
      </c>
      <c r="B16" s="40" t="str">
        <f aca="false">IF($H16="","",INDEX(Задачи!$A$1:$A$501,$H16)&amp;"")</f>
        <v/>
      </c>
      <c r="C16" s="40" t="str">
        <f aca="false">IF($H16="","",INDEX(Задачи!$B$1:$B$501,$H16)&amp;"")</f>
        <v/>
      </c>
      <c r="D16" s="39" t="str">
        <f aca="false">IF($H16="","",INDEX(Задачи!$C$1:$C$501,$H16)&amp;"")</f>
        <v/>
      </c>
      <c r="E16" s="41" t="str">
        <f aca="false">IF($H16="","",IF(INDEX(Задачи!$E$1:$E$501,$H16)="","",INDEX(Задачи!$E$1:$E$501,$H16)))</f>
        <v/>
      </c>
      <c r="F16" s="41" t="str">
        <f aca="false">IF($H16="","",IF(INDEX(Задачи!$F$1:$F$501,$H16)="","",INDEX(Задачи!$F$1:$F$501,$H16)))</f>
        <v/>
      </c>
      <c r="G16" s="40" t="str">
        <f aca="false">IF($H16="","",INDEX(Задачи!$I$1:$I$501,$H16)&amp;"")</f>
        <v/>
      </c>
      <c r="H16" s="20" t="str">
        <f aca="false">IFERROR(MOD(LARGE(Задачи!$P$2:$P$501,ROWS(H$5:H16)),1000),"")</f>
        <v/>
      </c>
    </row>
    <row r="17" customFormat="false" ht="30" hidden="false" customHeight="true" outlineLevel="0" collapsed="false">
      <c r="A17" s="39" t="str">
        <f aca="false">IF($H17="","",ROWS(A$5:A17))</f>
        <v/>
      </c>
      <c r="B17" s="40" t="str">
        <f aca="false">IF($H17="","",INDEX(Задачи!$A$1:$A$501,$H17)&amp;"")</f>
        <v/>
      </c>
      <c r="C17" s="40" t="str">
        <f aca="false">IF($H17="","",INDEX(Задачи!$B$1:$B$501,$H17)&amp;"")</f>
        <v/>
      </c>
      <c r="D17" s="39" t="str">
        <f aca="false">IF($H17="","",INDEX(Задачи!$C$1:$C$501,$H17)&amp;"")</f>
        <v/>
      </c>
      <c r="E17" s="41" t="str">
        <f aca="false">IF($H17="","",IF(INDEX(Задачи!$E$1:$E$501,$H17)="","",INDEX(Задачи!$E$1:$E$501,$H17)))</f>
        <v/>
      </c>
      <c r="F17" s="41" t="str">
        <f aca="false">IF($H17="","",IF(INDEX(Задачи!$F$1:$F$501,$H17)="","",INDEX(Задачи!$F$1:$F$501,$H17)))</f>
        <v/>
      </c>
      <c r="G17" s="40" t="str">
        <f aca="false">IF($H17="","",INDEX(Задачи!$I$1:$I$501,$H17)&amp;"")</f>
        <v/>
      </c>
      <c r="H17" s="20" t="str">
        <f aca="false">IFERROR(MOD(LARGE(Задачи!$P$2:$P$501,ROWS(H$5:H17)),1000),"")</f>
        <v/>
      </c>
    </row>
    <row r="18" customFormat="false" ht="30" hidden="false" customHeight="true" outlineLevel="0" collapsed="false">
      <c r="A18" s="39" t="str">
        <f aca="false">IF($H18="","",ROWS(A$5:A18))</f>
        <v/>
      </c>
      <c r="B18" s="40" t="str">
        <f aca="false">IF($H18="","",INDEX(Задачи!$A$1:$A$501,$H18)&amp;"")</f>
        <v/>
      </c>
      <c r="C18" s="40" t="str">
        <f aca="false">IF($H18="","",INDEX(Задачи!$B$1:$B$501,$H18)&amp;"")</f>
        <v/>
      </c>
      <c r="D18" s="39" t="str">
        <f aca="false">IF($H18="","",INDEX(Задачи!$C$1:$C$501,$H18)&amp;"")</f>
        <v/>
      </c>
      <c r="E18" s="41" t="str">
        <f aca="false">IF($H18="","",IF(INDEX(Задачи!$E$1:$E$501,$H18)="","",INDEX(Задачи!$E$1:$E$501,$H18)))</f>
        <v/>
      </c>
      <c r="F18" s="41" t="str">
        <f aca="false">IF($H18="","",IF(INDEX(Задачи!$F$1:$F$501,$H18)="","",INDEX(Задачи!$F$1:$F$501,$H18)))</f>
        <v/>
      </c>
      <c r="G18" s="40" t="str">
        <f aca="false">IF($H18="","",INDEX(Задачи!$I$1:$I$501,$H18)&amp;"")</f>
        <v/>
      </c>
      <c r="H18" s="20" t="str">
        <f aca="false">IFERROR(MOD(LARGE(Задачи!$P$2:$P$501,ROWS(H$5:H18)),1000),"")</f>
        <v/>
      </c>
    </row>
    <row r="19" customFormat="false" ht="30" hidden="false" customHeight="true" outlineLevel="0" collapsed="false">
      <c r="A19" s="39" t="str">
        <f aca="false">IF($H19="","",ROWS(A$5:A19))</f>
        <v/>
      </c>
      <c r="B19" s="40" t="str">
        <f aca="false">IF($H19="","",INDEX(Задачи!$A$1:$A$501,$H19)&amp;"")</f>
        <v/>
      </c>
      <c r="C19" s="40" t="str">
        <f aca="false">IF($H19="","",INDEX(Задачи!$B$1:$B$501,$H19)&amp;"")</f>
        <v/>
      </c>
      <c r="D19" s="39" t="str">
        <f aca="false">IF($H19="","",INDEX(Задачи!$C$1:$C$501,$H19)&amp;"")</f>
        <v/>
      </c>
      <c r="E19" s="41" t="str">
        <f aca="false">IF($H19="","",IF(INDEX(Задачи!$E$1:$E$501,$H19)="","",INDEX(Задачи!$E$1:$E$501,$H19)))</f>
        <v/>
      </c>
      <c r="F19" s="41" t="str">
        <f aca="false">IF($H19="","",IF(INDEX(Задачи!$F$1:$F$501,$H19)="","",INDEX(Задачи!$F$1:$F$501,$H19)))</f>
        <v/>
      </c>
      <c r="G19" s="40" t="str">
        <f aca="false">IF($H19="","",INDEX(Задачи!$I$1:$I$501,$H19)&amp;"")</f>
        <v/>
      </c>
      <c r="H19" s="20" t="str">
        <f aca="false">IFERROR(MOD(LARGE(Задачи!$P$2:$P$501,ROWS(H$5:H19)),1000),"")</f>
        <v/>
      </c>
    </row>
    <row r="20" customFormat="false" ht="30" hidden="false" customHeight="true" outlineLevel="0" collapsed="false">
      <c r="A20" s="39" t="str">
        <f aca="false">IF($H20="","",ROWS(A$5:A20))</f>
        <v/>
      </c>
      <c r="B20" s="40" t="str">
        <f aca="false">IF($H20="","",INDEX(Задачи!$A$1:$A$501,$H20)&amp;"")</f>
        <v/>
      </c>
      <c r="C20" s="40" t="str">
        <f aca="false">IF($H20="","",INDEX(Задачи!$B$1:$B$501,$H20)&amp;"")</f>
        <v/>
      </c>
      <c r="D20" s="39" t="str">
        <f aca="false">IF($H20="","",INDEX(Задачи!$C$1:$C$501,$H20)&amp;"")</f>
        <v/>
      </c>
      <c r="E20" s="41" t="str">
        <f aca="false">IF($H20="","",IF(INDEX(Задачи!$E$1:$E$501,$H20)="","",INDEX(Задачи!$E$1:$E$501,$H20)))</f>
        <v/>
      </c>
      <c r="F20" s="41" t="str">
        <f aca="false">IF($H20="","",IF(INDEX(Задачи!$F$1:$F$501,$H20)="","",INDEX(Задачи!$F$1:$F$501,$H20)))</f>
        <v/>
      </c>
      <c r="G20" s="40" t="str">
        <f aca="false">IF($H20="","",INDEX(Задачи!$I$1:$I$501,$H20)&amp;"")</f>
        <v/>
      </c>
      <c r="H20" s="20" t="str">
        <f aca="false">IFERROR(MOD(LARGE(Задачи!$P$2:$P$501,ROWS(H$5:H20)),1000),"")</f>
        <v/>
      </c>
    </row>
    <row r="21" customFormat="false" ht="30" hidden="false" customHeight="true" outlineLevel="0" collapsed="false">
      <c r="A21" s="39" t="str">
        <f aca="false">IF($H21="","",ROWS(A$5:A21))</f>
        <v/>
      </c>
      <c r="B21" s="40" t="str">
        <f aca="false">IF($H21="","",INDEX(Задачи!$A$1:$A$501,$H21)&amp;"")</f>
        <v/>
      </c>
      <c r="C21" s="40" t="str">
        <f aca="false">IF($H21="","",INDEX(Задачи!$B$1:$B$501,$H21)&amp;"")</f>
        <v/>
      </c>
      <c r="D21" s="39" t="str">
        <f aca="false">IF($H21="","",INDEX(Задачи!$C$1:$C$501,$H21)&amp;"")</f>
        <v/>
      </c>
      <c r="E21" s="41" t="str">
        <f aca="false">IF($H21="","",IF(INDEX(Задачи!$E$1:$E$501,$H21)="","",INDEX(Задачи!$E$1:$E$501,$H21)))</f>
        <v/>
      </c>
      <c r="F21" s="41" t="str">
        <f aca="false">IF($H21="","",IF(INDEX(Задачи!$F$1:$F$501,$H21)="","",INDEX(Задачи!$F$1:$F$501,$H21)))</f>
        <v/>
      </c>
      <c r="G21" s="40" t="str">
        <f aca="false">IF($H21="","",INDEX(Задачи!$I$1:$I$501,$H21)&amp;"")</f>
        <v/>
      </c>
      <c r="H21" s="20" t="str">
        <f aca="false">IFERROR(MOD(LARGE(Задачи!$P$2:$P$501,ROWS(H$5:H21)),1000),"")</f>
        <v/>
      </c>
    </row>
    <row r="22" customFormat="false" ht="30" hidden="false" customHeight="true" outlineLevel="0" collapsed="false">
      <c r="A22" s="39" t="str">
        <f aca="false">IF($H22="","",ROWS(A$5:A22))</f>
        <v/>
      </c>
      <c r="B22" s="40" t="str">
        <f aca="false">IF($H22="","",INDEX(Задачи!$A$1:$A$501,$H22)&amp;"")</f>
        <v/>
      </c>
      <c r="C22" s="40" t="str">
        <f aca="false">IF($H22="","",INDEX(Задачи!$B$1:$B$501,$H22)&amp;"")</f>
        <v/>
      </c>
      <c r="D22" s="39" t="str">
        <f aca="false">IF($H22="","",INDEX(Задачи!$C$1:$C$501,$H22)&amp;"")</f>
        <v/>
      </c>
      <c r="E22" s="41" t="str">
        <f aca="false">IF($H22="","",IF(INDEX(Задачи!$E$1:$E$501,$H22)="","",INDEX(Задачи!$E$1:$E$501,$H22)))</f>
        <v/>
      </c>
      <c r="F22" s="41" t="str">
        <f aca="false">IF($H22="","",IF(INDEX(Задачи!$F$1:$F$501,$H22)="","",INDEX(Задачи!$F$1:$F$501,$H22)))</f>
        <v/>
      </c>
      <c r="G22" s="40" t="str">
        <f aca="false">IF($H22="","",INDEX(Задачи!$I$1:$I$501,$H22)&amp;"")</f>
        <v/>
      </c>
      <c r="H22" s="20" t="str">
        <f aca="false">IFERROR(MOD(LARGE(Задачи!$P$2:$P$501,ROWS(H$5:H22)),1000),"")</f>
        <v/>
      </c>
    </row>
    <row r="23" customFormat="false" ht="30" hidden="false" customHeight="true" outlineLevel="0" collapsed="false">
      <c r="A23" s="39" t="str">
        <f aca="false">IF($H23="","",ROWS(A$5:A23))</f>
        <v/>
      </c>
      <c r="B23" s="40" t="str">
        <f aca="false">IF($H23="","",INDEX(Задачи!$A$1:$A$501,$H23)&amp;"")</f>
        <v/>
      </c>
      <c r="C23" s="40" t="str">
        <f aca="false">IF($H23="","",INDEX(Задачи!$B$1:$B$501,$H23)&amp;"")</f>
        <v/>
      </c>
      <c r="D23" s="39" t="str">
        <f aca="false">IF($H23="","",INDEX(Задачи!$C$1:$C$501,$H23)&amp;"")</f>
        <v/>
      </c>
      <c r="E23" s="41" t="str">
        <f aca="false">IF($H23="","",IF(INDEX(Задачи!$E$1:$E$501,$H23)="","",INDEX(Задачи!$E$1:$E$501,$H23)))</f>
        <v/>
      </c>
      <c r="F23" s="41" t="str">
        <f aca="false">IF($H23="","",IF(INDEX(Задачи!$F$1:$F$501,$H23)="","",INDEX(Задачи!$F$1:$F$501,$H23)))</f>
        <v/>
      </c>
      <c r="G23" s="40" t="str">
        <f aca="false">IF($H23="","",INDEX(Задачи!$I$1:$I$501,$H23)&amp;"")</f>
        <v/>
      </c>
      <c r="H23" s="20" t="str">
        <f aca="false">IFERROR(MOD(LARGE(Задачи!$P$2:$P$501,ROWS(H$5:H23)),1000),"")</f>
        <v/>
      </c>
    </row>
    <row r="24" customFormat="false" ht="30" hidden="false" customHeight="true" outlineLevel="0" collapsed="false">
      <c r="A24" s="39" t="str">
        <f aca="false">IF($H24="","",ROWS(A$5:A24))</f>
        <v/>
      </c>
      <c r="B24" s="40" t="str">
        <f aca="false">IF($H24="","",INDEX(Задачи!$A$1:$A$501,$H24)&amp;"")</f>
        <v/>
      </c>
      <c r="C24" s="40" t="str">
        <f aca="false">IF($H24="","",INDEX(Задачи!$B$1:$B$501,$H24)&amp;"")</f>
        <v/>
      </c>
      <c r="D24" s="39" t="str">
        <f aca="false">IF($H24="","",INDEX(Задачи!$C$1:$C$501,$H24)&amp;"")</f>
        <v/>
      </c>
      <c r="E24" s="41" t="str">
        <f aca="false">IF($H24="","",IF(INDEX(Задачи!$E$1:$E$501,$H24)="","",INDEX(Задачи!$E$1:$E$501,$H24)))</f>
        <v/>
      </c>
      <c r="F24" s="41" t="str">
        <f aca="false">IF($H24="","",IF(INDEX(Задачи!$F$1:$F$501,$H24)="","",INDEX(Задачи!$F$1:$F$501,$H24)))</f>
        <v/>
      </c>
      <c r="G24" s="40" t="str">
        <f aca="false">IF($H24="","",INDEX(Задачи!$I$1:$I$501,$H24)&amp;"")</f>
        <v/>
      </c>
      <c r="H24" s="20" t="str">
        <f aca="false">IFERROR(MOD(LARGE(Задачи!$P$2:$P$501,ROWS(H$5:H24)),1000),"")</f>
        <v/>
      </c>
    </row>
    <row r="25" customFormat="false" ht="30" hidden="false" customHeight="true" outlineLevel="0" collapsed="false">
      <c r="A25" s="39" t="str">
        <f aca="false">IF($H25="","",ROWS(A$5:A25))</f>
        <v/>
      </c>
      <c r="B25" s="40" t="str">
        <f aca="false">IF($H25="","",INDEX(Задачи!$A$1:$A$501,$H25)&amp;"")</f>
        <v/>
      </c>
      <c r="C25" s="40" t="str">
        <f aca="false">IF($H25="","",INDEX(Задачи!$B$1:$B$501,$H25)&amp;"")</f>
        <v/>
      </c>
      <c r="D25" s="39" t="str">
        <f aca="false">IF($H25="","",INDEX(Задачи!$C$1:$C$501,$H25)&amp;"")</f>
        <v/>
      </c>
      <c r="E25" s="41" t="str">
        <f aca="false">IF($H25="","",IF(INDEX(Задачи!$E$1:$E$501,$H25)="","",INDEX(Задачи!$E$1:$E$501,$H25)))</f>
        <v/>
      </c>
      <c r="F25" s="41" t="str">
        <f aca="false">IF($H25="","",IF(INDEX(Задачи!$F$1:$F$501,$H25)="","",INDEX(Задачи!$F$1:$F$501,$H25)))</f>
        <v/>
      </c>
      <c r="G25" s="40" t="str">
        <f aca="false">IF($H25="","",INDEX(Задачи!$I$1:$I$501,$H25)&amp;"")</f>
        <v/>
      </c>
      <c r="H25" s="20" t="str">
        <f aca="false">IFERROR(MOD(LARGE(Задачи!$P$2:$P$501,ROWS(H$5:H25)),1000),"")</f>
        <v/>
      </c>
    </row>
    <row r="26" customFormat="false" ht="30" hidden="false" customHeight="true" outlineLevel="0" collapsed="false">
      <c r="A26" s="39" t="str">
        <f aca="false">IF($H26="","",ROWS(A$5:A26))</f>
        <v/>
      </c>
      <c r="B26" s="40" t="str">
        <f aca="false">IF($H26="","",INDEX(Задачи!$A$1:$A$501,$H26)&amp;"")</f>
        <v/>
      </c>
      <c r="C26" s="40" t="str">
        <f aca="false">IF($H26="","",INDEX(Задачи!$B$1:$B$501,$H26)&amp;"")</f>
        <v/>
      </c>
      <c r="D26" s="39" t="str">
        <f aca="false">IF($H26="","",INDEX(Задачи!$C$1:$C$501,$H26)&amp;"")</f>
        <v/>
      </c>
      <c r="E26" s="41" t="str">
        <f aca="false">IF($H26="","",IF(INDEX(Задачи!$E$1:$E$501,$H26)="","",INDEX(Задачи!$E$1:$E$501,$H26)))</f>
        <v/>
      </c>
      <c r="F26" s="41" t="str">
        <f aca="false">IF($H26="","",IF(INDEX(Задачи!$F$1:$F$501,$H26)="","",INDEX(Задачи!$F$1:$F$501,$H26)))</f>
        <v/>
      </c>
      <c r="G26" s="40" t="str">
        <f aca="false">IF($H26="","",INDEX(Задачи!$I$1:$I$501,$H26)&amp;"")</f>
        <v/>
      </c>
      <c r="H26" s="20" t="str">
        <f aca="false">IFERROR(MOD(LARGE(Задачи!$P$2:$P$501,ROWS(H$5:H26)),1000),"")</f>
        <v/>
      </c>
    </row>
    <row r="27" customFormat="false" ht="30" hidden="false" customHeight="true" outlineLevel="0" collapsed="false">
      <c r="A27" s="39" t="str">
        <f aca="false">IF($H27="","",ROWS(A$5:A27))</f>
        <v/>
      </c>
      <c r="B27" s="40" t="str">
        <f aca="false">IF($H27="","",INDEX(Задачи!$A$1:$A$501,$H27)&amp;"")</f>
        <v/>
      </c>
      <c r="C27" s="40" t="str">
        <f aca="false">IF($H27="","",INDEX(Задачи!$B$1:$B$501,$H27)&amp;"")</f>
        <v/>
      </c>
      <c r="D27" s="39" t="str">
        <f aca="false">IF($H27="","",INDEX(Задачи!$C$1:$C$501,$H27)&amp;"")</f>
        <v/>
      </c>
      <c r="E27" s="41" t="str">
        <f aca="false">IF($H27="","",IF(INDEX(Задачи!$E$1:$E$501,$H27)="","",INDEX(Задачи!$E$1:$E$501,$H27)))</f>
        <v/>
      </c>
      <c r="F27" s="41" t="str">
        <f aca="false">IF($H27="","",IF(INDEX(Задачи!$F$1:$F$501,$H27)="","",INDEX(Задачи!$F$1:$F$501,$H27)))</f>
        <v/>
      </c>
      <c r="G27" s="40" t="str">
        <f aca="false">IF($H27="","",INDEX(Задачи!$I$1:$I$501,$H27)&amp;"")</f>
        <v/>
      </c>
      <c r="H27" s="20" t="str">
        <f aca="false">IFERROR(MOD(LARGE(Задачи!$P$2:$P$501,ROWS(H$5:H27)),1000),"")</f>
        <v/>
      </c>
    </row>
    <row r="28" customFormat="false" ht="30" hidden="false" customHeight="true" outlineLevel="0" collapsed="false">
      <c r="A28" s="39" t="str">
        <f aca="false">IF($H28="","",ROWS(A$5:A28))</f>
        <v/>
      </c>
      <c r="B28" s="40" t="str">
        <f aca="false">IF($H28="","",INDEX(Задачи!$A$1:$A$501,$H28)&amp;"")</f>
        <v/>
      </c>
      <c r="C28" s="40" t="str">
        <f aca="false">IF($H28="","",INDEX(Задачи!$B$1:$B$501,$H28)&amp;"")</f>
        <v/>
      </c>
      <c r="D28" s="39" t="str">
        <f aca="false">IF($H28="","",INDEX(Задачи!$C$1:$C$501,$H28)&amp;"")</f>
        <v/>
      </c>
      <c r="E28" s="41" t="str">
        <f aca="false">IF($H28="","",IF(INDEX(Задачи!$E$1:$E$501,$H28)="","",INDEX(Задачи!$E$1:$E$501,$H28)))</f>
        <v/>
      </c>
      <c r="F28" s="41" t="str">
        <f aca="false">IF($H28="","",IF(INDEX(Задачи!$F$1:$F$501,$H28)="","",INDEX(Задачи!$F$1:$F$501,$H28)))</f>
        <v/>
      </c>
      <c r="G28" s="40" t="str">
        <f aca="false">IF($H28="","",INDEX(Задачи!$I$1:$I$501,$H28)&amp;"")</f>
        <v/>
      </c>
      <c r="H28" s="20" t="str">
        <f aca="false">IFERROR(MOD(LARGE(Задачи!$P$2:$P$501,ROWS(H$5:H28)),1000),"")</f>
        <v/>
      </c>
    </row>
    <row r="29" customFormat="false" ht="30" hidden="false" customHeight="true" outlineLevel="0" collapsed="false">
      <c r="A29" s="39" t="str">
        <f aca="false">IF($H29="","",ROWS(A$5:A29))</f>
        <v/>
      </c>
      <c r="B29" s="40" t="str">
        <f aca="false">IF($H29="","",INDEX(Задачи!$A$1:$A$501,$H29)&amp;"")</f>
        <v/>
      </c>
      <c r="C29" s="40" t="str">
        <f aca="false">IF($H29="","",INDEX(Задачи!$B$1:$B$501,$H29)&amp;"")</f>
        <v/>
      </c>
      <c r="D29" s="39" t="str">
        <f aca="false">IF($H29="","",INDEX(Задачи!$C$1:$C$501,$H29)&amp;"")</f>
        <v/>
      </c>
      <c r="E29" s="41" t="str">
        <f aca="false">IF($H29="","",IF(INDEX(Задачи!$E$1:$E$501,$H29)="","",INDEX(Задачи!$E$1:$E$501,$H29)))</f>
        <v/>
      </c>
      <c r="F29" s="41" t="str">
        <f aca="false">IF($H29="","",IF(INDEX(Задачи!$F$1:$F$501,$H29)="","",INDEX(Задачи!$F$1:$F$501,$H29)))</f>
        <v/>
      </c>
      <c r="G29" s="40" t="str">
        <f aca="false">IF($H29="","",INDEX(Задачи!$I$1:$I$501,$H29)&amp;"")</f>
        <v/>
      </c>
      <c r="H29" s="20" t="str">
        <f aca="false">IFERROR(MOD(LARGE(Задачи!$P$2:$P$501,ROWS(H$5:H29)),1000),"")</f>
        <v/>
      </c>
    </row>
    <row r="30" customFormat="false" ht="30" hidden="false" customHeight="true" outlineLevel="0" collapsed="false">
      <c r="A30" s="39" t="str">
        <f aca="false">IF($H30="","",ROWS(A$5:A30))</f>
        <v/>
      </c>
      <c r="B30" s="40" t="str">
        <f aca="false">IF($H30="","",INDEX(Задачи!$A$1:$A$501,$H30)&amp;"")</f>
        <v/>
      </c>
      <c r="C30" s="40" t="str">
        <f aca="false">IF($H30="","",INDEX(Задачи!$B$1:$B$501,$H30)&amp;"")</f>
        <v/>
      </c>
      <c r="D30" s="39" t="str">
        <f aca="false">IF($H30="","",INDEX(Задачи!$C$1:$C$501,$H30)&amp;"")</f>
        <v/>
      </c>
      <c r="E30" s="41" t="str">
        <f aca="false">IF($H30="","",IF(INDEX(Задачи!$E$1:$E$501,$H30)="","",INDEX(Задачи!$E$1:$E$501,$H30)))</f>
        <v/>
      </c>
      <c r="F30" s="41" t="str">
        <f aca="false">IF($H30="","",IF(INDEX(Задачи!$F$1:$F$501,$H30)="","",INDEX(Задачи!$F$1:$F$501,$H30)))</f>
        <v/>
      </c>
      <c r="G30" s="40" t="str">
        <f aca="false">IF($H30="","",INDEX(Задачи!$I$1:$I$501,$H30)&amp;"")</f>
        <v/>
      </c>
      <c r="H30" s="20" t="str">
        <f aca="false">IFERROR(MOD(LARGE(Задачи!$P$2:$P$501,ROWS(H$5:H30)),1000),"")</f>
        <v/>
      </c>
    </row>
    <row r="31" customFormat="false" ht="30" hidden="false" customHeight="true" outlineLevel="0" collapsed="false">
      <c r="A31" s="39" t="str">
        <f aca="false">IF($H31="","",ROWS(A$5:A31))</f>
        <v/>
      </c>
      <c r="B31" s="40" t="str">
        <f aca="false">IF($H31="","",INDEX(Задачи!$A$1:$A$501,$H31)&amp;"")</f>
        <v/>
      </c>
      <c r="C31" s="40" t="str">
        <f aca="false">IF($H31="","",INDEX(Задачи!$B$1:$B$501,$H31)&amp;"")</f>
        <v/>
      </c>
      <c r="D31" s="39" t="str">
        <f aca="false">IF($H31="","",INDEX(Задачи!$C$1:$C$501,$H31)&amp;"")</f>
        <v/>
      </c>
      <c r="E31" s="41" t="str">
        <f aca="false">IF($H31="","",IF(INDEX(Задачи!$E$1:$E$501,$H31)="","",INDEX(Задачи!$E$1:$E$501,$H31)))</f>
        <v/>
      </c>
      <c r="F31" s="41" t="str">
        <f aca="false">IF($H31="","",IF(INDEX(Задачи!$F$1:$F$501,$H31)="","",INDEX(Задачи!$F$1:$F$501,$H31)))</f>
        <v/>
      </c>
      <c r="G31" s="40" t="str">
        <f aca="false">IF($H31="","",INDEX(Задачи!$I$1:$I$501,$H31)&amp;"")</f>
        <v/>
      </c>
      <c r="H31" s="20" t="str">
        <f aca="false">IFERROR(MOD(LARGE(Задачи!$P$2:$P$501,ROWS(H$5:H31)),1000),"")</f>
        <v/>
      </c>
    </row>
    <row r="32" customFormat="false" ht="30" hidden="false" customHeight="true" outlineLevel="0" collapsed="false">
      <c r="A32" s="39" t="str">
        <f aca="false">IF($H32="","",ROWS(A$5:A32))</f>
        <v/>
      </c>
      <c r="B32" s="40" t="str">
        <f aca="false">IF($H32="","",INDEX(Задачи!$A$1:$A$501,$H32)&amp;"")</f>
        <v/>
      </c>
      <c r="C32" s="40" t="str">
        <f aca="false">IF($H32="","",INDEX(Задачи!$B$1:$B$501,$H32)&amp;"")</f>
        <v/>
      </c>
      <c r="D32" s="39" t="str">
        <f aca="false">IF($H32="","",INDEX(Задачи!$C$1:$C$501,$H32)&amp;"")</f>
        <v/>
      </c>
      <c r="E32" s="41" t="str">
        <f aca="false">IF($H32="","",IF(INDEX(Задачи!$E$1:$E$501,$H32)="","",INDEX(Задачи!$E$1:$E$501,$H32)))</f>
        <v/>
      </c>
      <c r="F32" s="41" t="str">
        <f aca="false">IF($H32="","",IF(INDEX(Задачи!$F$1:$F$501,$H32)="","",INDEX(Задачи!$F$1:$F$501,$H32)))</f>
        <v/>
      </c>
      <c r="G32" s="40" t="str">
        <f aca="false">IF($H32="","",INDEX(Задачи!$I$1:$I$501,$H32)&amp;"")</f>
        <v/>
      </c>
      <c r="H32" s="20" t="str">
        <f aca="false">IFERROR(MOD(LARGE(Задачи!$P$2:$P$501,ROWS(H$5:H32)),1000),"")</f>
        <v/>
      </c>
    </row>
    <row r="33" customFormat="false" ht="30" hidden="false" customHeight="true" outlineLevel="0" collapsed="false">
      <c r="A33" s="39" t="str">
        <f aca="false">IF($H33="","",ROWS(A$5:A33))</f>
        <v/>
      </c>
      <c r="B33" s="40" t="str">
        <f aca="false">IF($H33="","",INDEX(Задачи!$A$1:$A$501,$H33)&amp;"")</f>
        <v/>
      </c>
      <c r="C33" s="40" t="str">
        <f aca="false">IF($H33="","",INDEX(Задачи!$B$1:$B$501,$H33)&amp;"")</f>
        <v/>
      </c>
      <c r="D33" s="39" t="str">
        <f aca="false">IF($H33="","",INDEX(Задачи!$C$1:$C$501,$H33)&amp;"")</f>
        <v/>
      </c>
      <c r="E33" s="41" t="str">
        <f aca="false">IF($H33="","",IF(INDEX(Задачи!$E$1:$E$501,$H33)="","",INDEX(Задачи!$E$1:$E$501,$H33)))</f>
        <v/>
      </c>
      <c r="F33" s="41" t="str">
        <f aca="false">IF($H33="","",IF(INDEX(Задачи!$F$1:$F$501,$H33)="","",INDEX(Задачи!$F$1:$F$501,$H33)))</f>
        <v/>
      </c>
      <c r="G33" s="40" t="str">
        <f aca="false">IF($H33="","",INDEX(Задачи!$I$1:$I$501,$H33)&amp;"")</f>
        <v/>
      </c>
      <c r="H33" s="20" t="str">
        <f aca="false">IFERROR(MOD(LARGE(Задачи!$P$2:$P$501,ROWS(H$5:H33)),1000),"")</f>
        <v/>
      </c>
    </row>
    <row r="34" customFormat="false" ht="30" hidden="false" customHeight="true" outlineLevel="0" collapsed="false">
      <c r="A34" s="39" t="str">
        <f aca="false">IF($H34="","",ROWS(A$5:A34))</f>
        <v/>
      </c>
      <c r="B34" s="40" t="str">
        <f aca="false">IF($H34="","",INDEX(Задачи!$A$1:$A$501,$H34)&amp;"")</f>
        <v/>
      </c>
      <c r="C34" s="40" t="str">
        <f aca="false">IF($H34="","",INDEX(Задачи!$B$1:$B$501,$H34)&amp;"")</f>
        <v/>
      </c>
      <c r="D34" s="39" t="str">
        <f aca="false">IF($H34="","",INDEX(Задачи!$C$1:$C$501,$H34)&amp;"")</f>
        <v/>
      </c>
      <c r="E34" s="41" t="str">
        <f aca="false">IF($H34="","",IF(INDEX(Задачи!$E$1:$E$501,$H34)="","",INDEX(Задачи!$E$1:$E$501,$H34)))</f>
        <v/>
      </c>
      <c r="F34" s="41" t="str">
        <f aca="false">IF($H34="","",IF(INDEX(Задачи!$F$1:$F$501,$H34)="","",INDEX(Задачи!$F$1:$F$501,$H34)))</f>
        <v/>
      </c>
      <c r="G34" s="40" t="str">
        <f aca="false">IF($H34="","",INDEX(Задачи!$I$1:$I$501,$H34)&amp;"")</f>
        <v/>
      </c>
      <c r="H34" s="20" t="str">
        <f aca="false">IFERROR(MOD(LARGE(Задачи!$P$2:$P$501,ROWS(H$5:H34)),1000),"")</f>
        <v/>
      </c>
    </row>
    <row r="35" customFormat="false" ht="30" hidden="false" customHeight="true" outlineLevel="0" collapsed="false">
      <c r="A35" s="39" t="str">
        <f aca="false">IF($H35="","",ROWS(A$5:A35))</f>
        <v/>
      </c>
      <c r="B35" s="40" t="str">
        <f aca="false">IF($H35="","",INDEX(Задачи!$A$1:$A$501,$H35)&amp;"")</f>
        <v/>
      </c>
      <c r="C35" s="40" t="str">
        <f aca="false">IF($H35="","",INDEX(Задачи!$B$1:$B$501,$H35)&amp;"")</f>
        <v/>
      </c>
      <c r="D35" s="39" t="str">
        <f aca="false">IF($H35="","",INDEX(Задачи!$C$1:$C$501,$H35)&amp;"")</f>
        <v/>
      </c>
      <c r="E35" s="41" t="str">
        <f aca="false">IF($H35="","",IF(INDEX(Задачи!$E$1:$E$501,$H35)="","",INDEX(Задачи!$E$1:$E$501,$H35)))</f>
        <v/>
      </c>
      <c r="F35" s="41" t="str">
        <f aca="false">IF($H35="","",IF(INDEX(Задачи!$F$1:$F$501,$H35)="","",INDEX(Задачи!$F$1:$F$501,$H35)))</f>
        <v/>
      </c>
      <c r="G35" s="40" t="str">
        <f aca="false">IF($H35="","",INDEX(Задачи!$I$1:$I$501,$H35)&amp;"")</f>
        <v/>
      </c>
      <c r="H35" s="20" t="str">
        <f aca="false">IFERROR(MOD(LARGE(Задачи!$P$2:$P$501,ROWS(H$5:H35)),1000),"")</f>
        <v/>
      </c>
    </row>
    <row r="36" customFormat="false" ht="30" hidden="false" customHeight="true" outlineLevel="0" collapsed="false">
      <c r="A36" s="39" t="str">
        <f aca="false">IF($H36="","",ROWS(A$5:A36))</f>
        <v/>
      </c>
      <c r="B36" s="40" t="str">
        <f aca="false">IF($H36="","",INDEX(Задачи!$A$1:$A$501,$H36)&amp;"")</f>
        <v/>
      </c>
      <c r="C36" s="40" t="str">
        <f aca="false">IF($H36="","",INDEX(Задачи!$B$1:$B$501,$H36)&amp;"")</f>
        <v/>
      </c>
      <c r="D36" s="39" t="str">
        <f aca="false">IF($H36="","",INDEX(Задачи!$C$1:$C$501,$H36)&amp;"")</f>
        <v/>
      </c>
      <c r="E36" s="41" t="str">
        <f aca="false">IF($H36="","",IF(INDEX(Задачи!$E$1:$E$501,$H36)="","",INDEX(Задачи!$E$1:$E$501,$H36)))</f>
        <v/>
      </c>
      <c r="F36" s="41" t="str">
        <f aca="false">IF($H36="","",IF(INDEX(Задачи!$F$1:$F$501,$H36)="","",INDEX(Задачи!$F$1:$F$501,$H36)))</f>
        <v/>
      </c>
      <c r="G36" s="40" t="str">
        <f aca="false">IF($H36="","",INDEX(Задачи!$I$1:$I$501,$H36)&amp;"")</f>
        <v/>
      </c>
      <c r="H36" s="20" t="str">
        <f aca="false">IFERROR(MOD(LARGE(Задачи!$P$2:$P$501,ROWS(H$5:H36)),1000),"")</f>
        <v/>
      </c>
    </row>
    <row r="37" customFormat="false" ht="30" hidden="false" customHeight="true" outlineLevel="0" collapsed="false">
      <c r="A37" s="39" t="str">
        <f aca="false">IF($H37="","",ROWS(A$5:A37))</f>
        <v/>
      </c>
      <c r="B37" s="40" t="str">
        <f aca="false">IF($H37="","",INDEX(Задачи!$A$1:$A$501,$H37)&amp;"")</f>
        <v/>
      </c>
      <c r="C37" s="40" t="str">
        <f aca="false">IF($H37="","",INDEX(Задачи!$B$1:$B$501,$H37)&amp;"")</f>
        <v/>
      </c>
      <c r="D37" s="39" t="str">
        <f aca="false">IF($H37="","",INDEX(Задачи!$C$1:$C$501,$H37)&amp;"")</f>
        <v/>
      </c>
      <c r="E37" s="41" t="str">
        <f aca="false">IF($H37="","",IF(INDEX(Задачи!$E$1:$E$501,$H37)="","",INDEX(Задачи!$E$1:$E$501,$H37)))</f>
        <v/>
      </c>
      <c r="F37" s="41" t="str">
        <f aca="false">IF($H37="","",IF(INDEX(Задачи!$F$1:$F$501,$H37)="","",INDEX(Задачи!$F$1:$F$501,$H37)))</f>
        <v/>
      </c>
      <c r="G37" s="40" t="str">
        <f aca="false">IF($H37="","",INDEX(Задачи!$I$1:$I$501,$H37)&amp;"")</f>
        <v/>
      </c>
      <c r="H37" s="20" t="str">
        <f aca="false">IFERROR(MOD(LARGE(Задачи!$P$2:$P$501,ROWS(H$5:H37)),1000),"")</f>
        <v/>
      </c>
    </row>
    <row r="38" customFormat="false" ht="30" hidden="false" customHeight="true" outlineLevel="0" collapsed="false">
      <c r="A38" s="39" t="str">
        <f aca="false">IF($H38="","",ROWS(A$5:A38))</f>
        <v/>
      </c>
      <c r="B38" s="40" t="str">
        <f aca="false">IF($H38="","",INDEX(Задачи!$A$1:$A$501,$H38)&amp;"")</f>
        <v/>
      </c>
      <c r="C38" s="40" t="str">
        <f aca="false">IF($H38="","",INDEX(Задачи!$B$1:$B$501,$H38)&amp;"")</f>
        <v/>
      </c>
      <c r="D38" s="39" t="str">
        <f aca="false">IF($H38="","",INDEX(Задачи!$C$1:$C$501,$H38)&amp;"")</f>
        <v/>
      </c>
      <c r="E38" s="41" t="str">
        <f aca="false">IF($H38="","",IF(INDEX(Задачи!$E$1:$E$501,$H38)="","",INDEX(Задачи!$E$1:$E$501,$H38)))</f>
        <v/>
      </c>
      <c r="F38" s="41" t="str">
        <f aca="false">IF($H38="","",IF(INDEX(Задачи!$F$1:$F$501,$H38)="","",INDEX(Задачи!$F$1:$F$501,$H38)))</f>
        <v/>
      </c>
      <c r="G38" s="40" t="str">
        <f aca="false">IF($H38="","",INDEX(Задачи!$I$1:$I$501,$H38)&amp;"")</f>
        <v/>
      </c>
      <c r="H38" s="20" t="str">
        <f aca="false">IFERROR(MOD(LARGE(Задачи!$P$2:$P$501,ROWS(H$5:H38)),1000),"")</f>
        <v/>
      </c>
    </row>
    <row r="39" customFormat="false" ht="30" hidden="false" customHeight="true" outlineLevel="0" collapsed="false">
      <c r="A39" s="39" t="str">
        <f aca="false">IF($H39="","",ROWS(A$5:A39))</f>
        <v/>
      </c>
      <c r="B39" s="40" t="str">
        <f aca="false">IF($H39="","",INDEX(Задачи!$A$1:$A$501,$H39)&amp;"")</f>
        <v/>
      </c>
      <c r="C39" s="40" t="str">
        <f aca="false">IF($H39="","",INDEX(Задачи!$B$1:$B$501,$H39)&amp;"")</f>
        <v/>
      </c>
      <c r="D39" s="39" t="str">
        <f aca="false">IF($H39="","",INDEX(Задачи!$C$1:$C$501,$H39)&amp;"")</f>
        <v/>
      </c>
      <c r="E39" s="41" t="str">
        <f aca="false">IF($H39="","",IF(INDEX(Задачи!$E$1:$E$501,$H39)="","",INDEX(Задачи!$E$1:$E$501,$H39)))</f>
        <v/>
      </c>
      <c r="F39" s="41" t="str">
        <f aca="false">IF($H39="","",IF(INDEX(Задачи!$F$1:$F$501,$H39)="","",INDEX(Задачи!$F$1:$F$501,$H39)))</f>
        <v/>
      </c>
      <c r="G39" s="40" t="str">
        <f aca="false">IF($H39="","",INDEX(Задачи!$I$1:$I$501,$H39)&amp;"")</f>
        <v/>
      </c>
      <c r="H39" s="20" t="str">
        <f aca="false">IFERROR(MOD(LARGE(Задачи!$P$2:$P$501,ROWS(H$5:H39)),1000),"")</f>
        <v/>
      </c>
    </row>
    <row r="40" customFormat="false" ht="30" hidden="false" customHeight="true" outlineLevel="0" collapsed="false">
      <c r="A40" s="39" t="str">
        <f aca="false">IF($H40="","",ROWS(A$5:A40))</f>
        <v/>
      </c>
      <c r="B40" s="40" t="str">
        <f aca="false">IF($H40="","",INDEX(Задачи!$A$1:$A$501,$H40)&amp;"")</f>
        <v/>
      </c>
      <c r="C40" s="40" t="str">
        <f aca="false">IF($H40="","",INDEX(Задачи!$B$1:$B$501,$H40)&amp;"")</f>
        <v/>
      </c>
      <c r="D40" s="39" t="str">
        <f aca="false">IF($H40="","",INDEX(Задачи!$C$1:$C$501,$H40)&amp;"")</f>
        <v/>
      </c>
      <c r="E40" s="41" t="str">
        <f aca="false">IF($H40="","",IF(INDEX(Задачи!$E$1:$E$501,$H40)="","",INDEX(Задачи!$E$1:$E$501,$H40)))</f>
        <v/>
      </c>
      <c r="F40" s="41" t="str">
        <f aca="false">IF($H40="","",IF(INDEX(Задачи!$F$1:$F$501,$H40)="","",INDEX(Задачи!$F$1:$F$501,$H40)))</f>
        <v/>
      </c>
      <c r="G40" s="40" t="str">
        <f aca="false">IF($H40="","",INDEX(Задачи!$I$1:$I$501,$H40)&amp;"")</f>
        <v/>
      </c>
      <c r="H40" s="20" t="str">
        <f aca="false">IFERROR(MOD(LARGE(Задачи!$P$2:$P$501,ROWS(H$5:H40)),1000),"")</f>
        <v/>
      </c>
    </row>
    <row r="41" customFormat="false" ht="30" hidden="false" customHeight="true" outlineLevel="0" collapsed="false">
      <c r="A41" s="39" t="str">
        <f aca="false">IF($H41="","",ROWS(A$5:A41))</f>
        <v/>
      </c>
      <c r="B41" s="40" t="str">
        <f aca="false">IF($H41="","",INDEX(Задачи!$A$1:$A$501,$H41)&amp;"")</f>
        <v/>
      </c>
      <c r="C41" s="40" t="str">
        <f aca="false">IF($H41="","",INDEX(Задачи!$B$1:$B$501,$H41)&amp;"")</f>
        <v/>
      </c>
      <c r="D41" s="39" t="str">
        <f aca="false">IF($H41="","",INDEX(Задачи!$C$1:$C$501,$H41)&amp;"")</f>
        <v/>
      </c>
      <c r="E41" s="41" t="str">
        <f aca="false">IF($H41="","",IF(INDEX(Задачи!$E$1:$E$501,$H41)="","",INDEX(Задачи!$E$1:$E$501,$H41)))</f>
        <v/>
      </c>
      <c r="F41" s="41" t="str">
        <f aca="false">IF($H41="","",IF(INDEX(Задачи!$F$1:$F$501,$H41)="","",INDEX(Задачи!$F$1:$F$501,$H41)))</f>
        <v/>
      </c>
      <c r="G41" s="40" t="str">
        <f aca="false">IF($H41="","",INDEX(Задачи!$I$1:$I$501,$H41)&amp;"")</f>
        <v/>
      </c>
      <c r="H41" s="20" t="str">
        <f aca="false">IFERROR(MOD(LARGE(Задачи!$P$2:$P$501,ROWS(H$5:H41)),1000),"")</f>
        <v/>
      </c>
    </row>
    <row r="42" customFormat="false" ht="30" hidden="false" customHeight="true" outlineLevel="0" collapsed="false">
      <c r="A42" s="39" t="str">
        <f aca="false">IF($H42="","",ROWS(A$5:A42))</f>
        <v/>
      </c>
      <c r="B42" s="40" t="str">
        <f aca="false">IF($H42="","",INDEX(Задачи!$A$1:$A$501,$H42)&amp;"")</f>
        <v/>
      </c>
      <c r="C42" s="40" t="str">
        <f aca="false">IF($H42="","",INDEX(Задачи!$B$1:$B$501,$H42)&amp;"")</f>
        <v/>
      </c>
      <c r="D42" s="39" t="str">
        <f aca="false">IF($H42="","",INDEX(Задачи!$C$1:$C$501,$H42)&amp;"")</f>
        <v/>
      </c>
      <c r="E42" s="41" t="str">
        <f aca="false">IF($H42="","",IF(INDEX(Задачи!$E$1:$E$501,$H42)="","",INDEX(Задачи!$E$1:$E$501,$H42)))</f>
        <v/>
      </c>
      <c r="F42" s="41" t="str">
        <f aca="false">IF($H42="","",IF(INDEX(Задачи!$F$1:$F$501,$H42)="","",INDEX(Задачи!$F$1:$F$501,$H42)))</f>
        <v/>
      </c>
      <c r="G42" s="40" t="str">
        <f aca="false">IF($H42="","",INDEX(Задачи!$I$1:$I$501,$H42)&amp;"")</f>
        <v/>
      </c>
      <c r="H42" s="20" t="str">
        <f aca="false">IFERROR(MOD(LARGE(Задачи!$P$2:$P$501,ROWS(H$5:H42)),1000),"")</f>
        <v/>
      </c>
    </row>
    <row r="43" customFormat="false" ht="30" hidden="false" customHeight="true" outlineLevel="0" collapsed="false">
      <c r="A43" s="39" t="str">
        <f aca="false">IF($H43="","",ROWS(A$5:A43))</f>
        <v/>
      </c>
      <c r="B43" s="40" t="str">
        <f aca="false">IF($H43="","",INDEX(Задачи!$A$1:$A$501,$H43)&amp;"")</f>
        <v/>
      </c>
      <c r="C43" s="40" t="str">
        <f aca="false">IF($H43="","",INDEX(Задачи!$B$1:$B$501,$H43)&amp;"")</f>
        <v/>
      </c>
      <c r="D43" s="39" t="str">
        <f aca="false">IF($H43="","",INDEX(Задачи!$C$1:$C$501,$H43)&amp;"")</f>
        <v/>
      </c>
      <c r="E43" s="41" t="str">
        <f aca="false">IF($H43="","",IF(INDEX(Задачи!$E$1:$E$501,$H43)="","",INDEX(Задачи!$E$1:$E$501,$H43)))</f>
        <v/>
      </c>
      <c r="F43" s="41" t="str">
        <f aca="false">IF($H43="","",IF(INDEX(Задачи!$F$1:$F$501,$H43)="","",INDEX(Задачи!$F$1:$F$501,$H43)))</f>
        <v/>
      </c>
      <c r="G43" s="40" t="str">
        <f aca="false">IF($H43="","",INDEX(Задачи!$I$1:$I$501,$H43)&amp;"")</f>
        <v/>
      </c>
      <c r="H43" s="20" t="str">
        <f aca="false">IFERROR(MOD(LARGE(Задачи!$P$2:$P$501,ROWS(H$5:H43)),1000),"")</f>
        <v/>
      </c>
    </row>
    <row r="44" customFormat="false" ht="30" hidden="false" customHeight="true" outlineLevel="0" collapsed="false">
      <c r="A44" s="39" t="str">
        <f aca="false">IF($H44="","",ROWS(A$5:A44))</f>
        <v/>
      </c>
      <c r="B44" s="40" t="str">
        <f aca="false">IF($H44="","",INDEX(Задачи!$A$1:$A$501,$H44)&amp;"")</f>
        <v/>
      </c>
      <c r="C44" s="40" t="str">
        <f aca="false">IF($H44="","",INDEX(Задачи!$B$1:$B$501,$H44)&amp;"")</f>
        <v/>
      </c>
      <c r="D44" s="39" t="str">
        <f aca="false">IF($H44="","",INDEX(Задачи!$C$1:$C$501,$H44)&amp;"")</f>
        <v/>
      </c>
      <c r="E44" s="41" t="str">
        <f aca="false">IF($H44="","",IF(INDEX(Задачи!$E$1:$E$501,$H44)="","",INDEX(Задачи!$E$1:$E$501,$H44)))</f>
        <v/>
      </c>
      <c r="F44" s="41" t="str">
        <f aca="false">IF($H44="","",IF(INDEX(Задачи!$F$1:$F$501,$H44)="","",INDEX(Задачи!$F$1:$F$501,$H44)))</f>
        <v/>
      </c>
      <c r="G44" s="40" t="str">
        <f aca="false">IF($H44="","",INDEX(Задачи!$I$1:$I$501,$H44)&amp;"")</f>
        <v/>
      </c>
      <c r="H44" s="20" t="str">
        <f aca="false">IFERROR(MOD(LARGE(Задачи!$P$2:$P$501,ROWS(H$5:H44)),1000),"")</f>
        <v/>
      </c>
    </row>
    <row r="45" customFormat="false" ht="30" hidden="false" customHeight="true" outlineLevel="0" collapsed="false">
      <c r="A45" s="39" t="str">
        <f aca="false">IF($H45="","",ROWS(A$5:A45))</f>
        <v/>
      </c>
      <c r="B45" s="40" t="str">
        <f aca="false">IF($H45="","",INDEX(Задачи!$A$1:$A$501,$H45)&amp;"")</f>
        <v/>
      </c>
      <c r="C45" s="40" t="str">
        <f aca="false">IF($H45="","",INDEX(Задачи!$B$1:$B$501,$H45)&amp;"")</f>
        <v/>
      </c>
      <c r="D45" s="39" t="str">
        <f aca="false">IF($H45="","",INDEX(Задачи!$C$1:$C$501,$H45)&amp;"")</f>
        <v/>
      </c>
      <c r="E45" s="41" t="str">
        <f aca="false">IF($H45="","",IF(INDEX(Задачи!$E$1:$E$501,$H45)="","",INDEX(Задачи!$E$1:$E$501,$H45)))</f>
        <v/>
      </c>
      <c r="F45" s="41" t="str">
        <f aca="false">IF($H45="","",IF(INDEX(Задачи!$F$1:$F$501,$H45)="","",INDEX(Задачи!$F$1:$F$501,$H45)))</f>
        <v/>
      </c>
      <c r="G45" s="40" t="str">
        <f aca="false">IF($H45="","",INDEX(Задачи!$I$1:$I$501,$H45)&amp;"")</f>
        <v/>
      </c>
      <c r="H45" s="20" t="str">
        <f aca="false">IFERROR(MOD(LARGE(Задачи!$P$2:$P$501,ROWS(H$5:H45)),1000),"")</f>
        <v/>
      </c>
    </row>
    <row r="46" customFormat="false" ht="30" hidden="false" customHeight="true" outlineLevel="0" collapsed="false">
      <c r="A46" s="39" t="str">
        <f aca="false">IF($H46="","",ROWS(A$5:A46))</f>
        <v/>
      </c>
      <c r="B46" s="40" t="str">
        <f aca="false">IF($H46="","",INDEX(Задачи!$A$1:$A$501,$H46)&amp;"")</f>
        <v/>
      </c>
      <c r="C46" s="40" t="str">
        <f aca="false">IF($H46="","",INDEX(Задачи!$B$1:$B$501,$H46)&amp;"")</f>
        <v/>
      </c>
      <c r="D46" s="39" t="str">
        <f aca="false">IF($H46="","",INDEX(Задачи!$C$1:$C$501,$H46)&amp;"")</f>
        <v/>
      </c>
      <c r="E46" s="41" t="str">
        <f aca="false">IF($H46="","",IF(INDEX(Задачи!$E$1:$E$501,$H46)="","",INDEX(Задачи!$E$1:$E$501,$H46)))</f>
        <v/>
      </c>
      <c r="F46" s="41" t="str">
        <f aca="false">IF($H46="","",IF(INDEX(Задачи!$F$1:$F$501,$H46)="","",INDEX(Задачи!$F$1:$F$501,$H46)))</f>
        <v/>
      </c>
      <c r="G46" s="40" t="str">
        <f aca="false">IF($H46="","",INDEX(Задачи!$I$1:$I$501,$H46)&amp;"")</f>
        <v/>
      </c>
      <c r="H46" s="20" t="str">
        <f aca="false">IFERROR(MOD(LARGE(Задачи!$P$2:$P$501,ROWS(H$5:H46)),1000),"")</f>
        <v/>
      </c>
    </row>
    <row r="47" customFormat="false" ht="30" hidden="false" customHeight="true" outlineLevel="0" collapsed="false">
      <c r="A47" s="39" t="str">
        <f aca="false">IF($H47="","",ROWS(A$5:A47))</f>
        <v/>
      </c>
      <c r="B47" s="40" t="str">
        <f aca="false">IF($H47="","",INDEX(Задачи!$A$1:$A$501,$H47)&amp;"")</f>
        <v/>
      </c>
      <c r="C47" s="40" t="str">
        <f aca="false">IF($H47="","",INDEX(Задачи!$B$1:$B$501,$H47)&amp;"")</f>
        <v/>
      </c>
      <c r="D47" s="39" t="str">
        <f aca="false">IF($H47="","",INDEX(Задачи!$C$1:$C$501,$H47)&amp;"")</f>
        <v/>
      </c>
      <c r="E47" s="41" t="str">
        <f aca="false">IF($H47="","",IF(INDEX(Задачи!$E$1:$E$501,$H47)="","",INDEX(Задачи!$E$1:$E$501,$H47)))</f>
        <v/>
      </c>
      <c r="F47" s="41" t="str">
        <f aca="false">IF($H47="","",IF(INDEX(Задачи!$F$1:$F$501,$H47)="","",INDEX(Задачи!$F$1:$F$501,$H47)))</f>
        <v/>
      </c>
      <c r="G47" s="40" t="str">
        <f aca="false">IF($H47="","",INDEX(Задачи!$I$1:$I$501,$H47)&amp;"")</f>
        <v/>
      </c>
      <c r="H47" s="20" t="str">
        <f aca="false">IFERROR(MOD(LARGE(Задачи!$P$2:$P$501,ROWS(H$5:H47)),1000),"")</f>
        <v/>
      </c>
    </row>
    <row r="48" customFormat="false" ht="30" hidden="false" customHeight="true" outlineLevel="0" collapsed="false">
      <c r="A48" s="39" t="str">
        <f aca="false">IF($H48="","",ROWS(A$5:A48))</f>
        <v/>
      </c>
      <c r="B48" s="40" t="str">
        <f aca="false">IF($H48="","",INDEX(Задачи!$A$1:$A$501,$H48)&amp;"")</f>
        <v/>
      </c>
      <c r="C48" s="40" t="str">
        <f aca="false">IF($H48="","",INDEX(Задачи!$B$1:$B$501,$H48)&amp;"")</f>
        <v/>
      </c>
      <c r="D48" s="39" t="str">
        <f aca="false">IF($H48="","",INDEX(Задачи!$C$1:$C$501,$H48)&amp;"")</f>
        <v/>
      </c>
      <c r="E48" s="41" t="str">
        <f aca="false">IF($H48="","",IF(INDEX(Задачи!$E$1:$E$501,$H48)="","",INDEX(Задачи!$E$1:$E$501,$H48)))</f>
        <v/>
      </c>
      <c r="F48" s="41" t="str">
        <f aca="false">IF($H48="","",IF(INDEX(Задачи!$F$1:$F$501,$H48)="","",INDEX(Задачи!$F$1:$F$501,$H48)))</f>
        <v/>
      </c>
      <c r="G48" s="40" t="str">
        <f aca="false">IF($H48="","",INDEX(Задачи!$I$1:$I$501,$H48)&amp;"")</f>
        <v/>
      </c>
      <c r="H48" s="20" t="str">
        <f aca="false">IFERROR(MOD(LARGE(Задачи!$P$2:$P$501,ROWS(H$5:H48)),1000),"")</f>
        <v/>
      </c>
    </row>
    <row r="49" customFormat="false" ht="30" hidden="false" customHeight="true" outlineLevel="0" collapsed="false">
      <c r="A49" s="39" t="str">
        <f aca="false">IF($H49="","",ROWS(A$5:A49))</f>
        <v/>
      </c>
      <c r="B49" s="40" t="str">
        <f aca="false">IF($H49="","",INDEX(Задачи!$A$1:$A$501,$H49)&amp;"")</f>
        <v/>
      </c>
      <c r="C49" s="40" t="str">
        <f aca="false">IF($H49="","",INDEX(Задачи!$B$1:$B$501,$H49)&amp;"")</f>
        <v/>
      </c>
      <c r="D49" s="39" t="str">
        <f aca="false">IF($H49="","",INDEX(Задачи!$C$1:$C$501,$H49)&amp;"")</f>
        <v/>
      </c>
      <c r="E49" s="41" t="str">
        <f aca="false">IF($H49="","",IF(INDEX(Задачи!$E$1:$E$501,$H49)="","",INDEX(Задачи!$E$1:$E$501,$H49)))</f>
        <v/>
      </c>
      <c r="F49" s="41" t="str">
        <f aca="false">IF($H49="","",IF(INDEX(Задачи!$F$1:$F$501,$H49)="","",INDEX(Задачи!$F$1:$F$501,$H49)))</f>
        <v/>
      </c>
      <c r="G49" s="40" t="str">
        <f aca="false">IF($H49="","",INDEX(Задачи!$I$1:$I$501,$H49)&amp;"")</f>
        <v/>
      </c>
      <c r="H49" s="20" t="str">
        <f aca="false">IFERROR(MOD(LARGE(Задачи!$P$2:$P$501,ROWS(H$5:H49)),1000),"")</f>
        <v/>
      </c>
    </row>
    <row r="50" customFormat="false" ht="30" hidden="false" customHeight="true" outlineLevel="0" collapsed="false">
      <c r="A50" s="39" t="str">
        <f aca="false">IF($H50="","",ROWS(A$5:A50))</f>
        <v/>
      </c>
      <c r="B50" s="40" t="str">
        <f aca="false">IF($H50="","",INDEX(Задачи!$A$1:$A$501,$H50)&amp;"")</f>
        <v/>
      </c>
      <c r="C50" s="40" t="str">
        <f aca="false">IF($H50="","",INDEX(Задачи!$B$1:$B$501,$H50)&amp;"")</f>
        <v/>
      </c>
      <c r="D50" s="39" t="str">
        <f aca="false">IF($H50="","",INDEX(Задачи!$C$1:$C$501,$H50)&amp;"")</f>
        <v/>
      </c>
      <c r="E50" s="41" t="str">
        <f aca="false">IF($H50="","",IF(INDEX(Задачи!$E$1:$E$501,$H50)="","",INDEX(Задачи!$E$1:$E$501,$H50)))</f>
        <v/>
      </c>
      <c r="F50" s="41" t="str">
        <f aca="false">IF($H50="","",IF(INDEX(Задачи!$F$1:$F$501,$H50)="","",INDEX(Задачи!$F$1:$F$501,$H50)))</f>
        <v/>
      </c>
      <c r="G50" s="40" t="str">
        <f aca="false">IF($H50="","",INDEX(Задачи!$I$1:$I$501,$H50)&amp;"")</f>
        <v/>
      </c>
      <c r="H50" s="20" t="str">
        <f aca="false">IFERROR(MOD(LARGE(Задачи!$P$2:$P$501,ROWS(H$5:H50)),1000),"")</f>
        <v/>
      </c>
    </row>
    <row r="51" customFormat="false" ht="30" hidden="false" customHeight="true" outlineLevel="0" collapsed="false">
      <c r="A51" s="39" t="str">
        <f aca="false">IF($H51="","",ROWS(A$5:A51))</f>
        <v/>
      </c>
      <c r="B51" s="40" t="str">
        <f aca="false">IF($H51="","",INDEX(Задачи!$A$1:$A$501,$H51)&amp;"")</f>
        <v/>
      </c>
      <c r="C51" s="40" t="str">
        <f aca="false">IF($H51="","",INDEX(Задачи!$B$1:$B$501,$H51)&amp;"")</f>
        <v/>
      </c>
      <c r="D51" s="39" t="str">
        <f aca="false">IF($H51="","",INDEX(Задачи!$C$1:$C$501,$H51)&amp;"")</f>
        <v/>
      </c>
      <c r="E51" s="41" t="str">
        <f aca="false">IF($H51="","",IF(INDEX(Задачи!$E$1:$E$501,$H51)="","",INDEX(Задачи!$E$1:$E$501,$H51)))</f>
        <v/>
      </c>
      <c r="F51" s="41" t="str">
        <f aca="false">IF($H51="","",IF(INDEX(Задачи!$F$1:$F$501,$H51)="","",INDEX(Задачи!$F$1:$F$501,$H51)))</f>
        <v/>
      </c>
      <c r="G51" s="40" t="str">
        <f aca="false">IF($H51="","",INDEX(Задачи!$I$1:$I$501,$H51)&amp;"")</f>
        <v/>
      </c>
      <c r="H51" s="20" t="str">
        <f aca="false">IFERROR(MOD(LARGE(Задачи!$P$2:$P$501,ROWS(H$5:H51)),1000),"")</f>
        <v/>
      </c>
    </row>
    <row r="52" customFormat="false" ht="30" hidden="false" customHeight="true" outlineLevel="0" collapsed="false">
      <c r="A52" s="39" t="str">
        <f aca="false">IF($H52="","",ROWS(A$5:A52))</f>
        <v/>
      </c>
      <c r="B52" s="40" t="str">
        <f aca="false">IF($H52="","",INDEX(Задачи!$A$1:$A$501,$H52)&amp;"")</f>
        <v/>
      </c>
      <c r="C52" s="40" t="str">
        <f aca="false">IF($H52="","",INDEX(Задачи!$B$1:$B$501,$H52)&amp;"")</f>
        <v/>
      </c>
      <c r="D52" s="39" t="str">
        <f aca="false">IF($H52="","",INDEX(Задачи!$C$1:$C$501,$H52)&amp;"")</f>
        <v/>
      </c>
      <c r="E52" s="41" t="str">
        <f aca="false">IF($H52="","",IF(INDEX(Задачи!$E$1:$E$501,$H52)="","",INDEX(Задачи!$E$1:$E$501,$H52)))</f>
        <v/>
      </c>
      <c r="F52" s="41" t="str">
        <f aca="false">IF($H52="","",IF(INDEX(Задачи!$F$1:$F$501,$H52)="","",INDEX(Задачи!$F$1:$F$501,$H52)))</f>
        <v/>
      </c>
      <c r="G52" s="40" t="str">
        <f aca="false">IF($H52="","",INDEX(Задачи!$I$1:$I$501,$H52)&amp;"")</f>
        <v/>
      </c>
      <c r="H52" s="20" t="str">
        <f aca="false">IFERROR(MOD(LARGE(Задачи!$P$2:$P$501,ROWS(H$5:H52)),1000),"")</f>
        <v/>
      </c>
    </row>
    <row r="53" customFormat="false" ht="30" hidden="false" customHeight="true" outlineLevel="0" collapsed="false">
      <c r="A53" s="39" t="str">
        <f aca="false">IF($H53="","",ROWS(A$5:A53))</f>
        <v/>
      </c>
      <c r="B53" s="40" t="str">
        <f aca="false">IF($H53="","",INDEX(Задачи!$A$1:$A$501,$H53)&amp;"")</f>
        <v/>
      </c>
      <c r="C53" s="40" t="str">
        <f aca="false">IF($H53="","",INDEX(Задачи!$B$1:$B$501,$H53)&amp;"")</f>
        <v/>
      </c>
      <c r="D53" s="39" t="str">
        <f aca="false">IF($H53="","",INDEX(Задачи!$C$1:$C$501,$H53)&amp;"")</f>
        <v/>
      </c>
      <c r="E53" s="41" t="str">
        <f aca="false">IF($H53="","",IF(INDEX(Задачи!$E$1:$E$501,$H53)="","",INDEX(Задачи!$E$1:$E$501,$H53)))</f>
        <v/>
      </c>
      <c r="F53" s="41" t="str">
        <f aca="false">IF($H53="","",IF(INDEX(Задачи!$F$1:$F$501,$H53)="","",INDEX(Задачи!$F$1:$F$501,$H53)))</f>
        <v/>
      </c>
      <c r="G53" s="40" t="str">
        <f aca="false">IF($H53="","",INDEX(Задачи!$I$1:$I$501,$H53)&amp;"")</f>
        <v/>
      </c>
      <c r="H53" s="20" t="str">
        <f aca="false">IFERROR(MOD(LARGE(Задачи!$P$2:$P$501,ROWS(H$5:H53)),1000),"")</f>
        <v/>
      </c>
    </row>
    <row r="54" customFormat="false" ht="30" hidden="false" customHeight="true" outlineLevel="0" collapsed="false">
      <c r="A54" s="39" t="str">
        <f aca="false">IF($H54="","",ROWS(A$5:A54))</f>
        <v/>
      </c>
      <c r="B54" s="40" t="str">
        <f aca="false">IF($H54="","",INDEX(Задачи!$A$1:$A$501,$H54)&amp;"")</f>
        <v/>
      </c>
      <c r="C54" s="40" t="str">
        <f aca="false">IF($H54="","",INDEX(Задачи!$B$1:$B$501,$H54)&amp;"")</f>
        <v/>
      </c>
      <c r="D54" s="39" t="str">
        <f aca="false">IF($H54="","",INDEX(Задачи!$C$1:$C$501,$H54)&amp;"")</f>
        <v/>
      </c>
      <c r="E54" s="41" t="str">
        <f aca="false">IF($H54="","",IF(INDEX(Задачи!$E$1:$E$501,$H54)="","",INDEX(Задачи!$E$1:$E$501,$H54)))</f>
        <v/>
      </c>
      <c r="F54" s="41" t="str">
        <f aca="false">IF($H54="","",IF(INDEX(Задачи!$F$1:$F$501,$H54)="","",INDEX(Задачи!$F$1:$F$501,$H54)))</f>
        <v/>
      </c>
      <c r="G54" s="40" t="str">
        <f aca="false">IF($H54="","",INDEX(Задачи!$I$1:$I$501,$H54)&amp;"")</f>
        <v/>
      </c>
      <c r="H54" s="20" t="str">
        <f aca="false">IFERROR(MOD(LARGE(Задачи!$P$2:$P$501,ROWS(H$5:H54)),1000),"")</f>
        <v/>
      </c>
    </row>
    <row r="55" customFormat="false" ht="30" hidden="false" customHeight="true" outlineLevel="0" collapsed="false">
      <c r="A55" s="39" t="str">
        <f aca="false">IF($H55="","",ROWS(A$5:A55))</f>
        <v/>
      </c>
      <c r="B55" s="40" t="str">
        <f aca="false">IF($H55="","",INDEX(Задачи!$A$1:$A$501,$H55)&amp;"")</f>
        <v/>
      </c>
      <c r="C55" s="40" t="str">
        <f aca="false">IF($H55="","",INDEX(Задачи!$B$1:$B$501,$H55)&amp;"")</f>
        <v/>
      </c>
      <c r="D55" s="39" t="str">
        <f aca="false">IF($H55="","",INDEX(Задачи!$C$1:$C$501,$H55)&amp;"")</f>
        <v/>
      </c>
      <c r="E55" s="41" t="str">
        <f aca="false">IF($H55="","",IF(INDEX(Задачи!$E$1:$E$501,$H55)="","",INDEX(Задачи!$E$1:$E$501,$H55)))</f>
        <v/>
      </c>
      <c r="F55" s="41" t="str">
        <f aca="false">IF($H55="","",IF(INDEX(Задачи!$F$1:$F$501,$H55)="","",INDEX(Задачи!$F$1:$F$501,$H55)))</f>
        <v/>
      </c>
      <c r="G55" s="40" t="str">
        <f aca="false">IF($H55="","",INDEX(Задачи!$I$1:$I$501,$H55)&amp;"")</f>
        <v/>
      </c>
      <c r="H55" s="20" t="str">
        <f aca="false">IFERROR(MOD(LARGE(Задачи!$P$2:$P$501,ROWS(H$5:H55)),1000),"")</f>
        <v/>
      </c>
    </row>
    <row r="56" customFormat="false" ht="30" hidden="false" customHeight="true" outlineLevel="0" collapsed="false">
      <c r="A56" s="39" t="str">
        <f aca="false">IF($H56="","",ROWS(A$5:A56))</f>
        <v/>
      </c>
      <c r="B56" s="40" t="str">
        <f aca="false">IF($H56="","",INDEX(Задачи!$A$1:$A$501,$H56)&amp;"")</f>
        <v/>
      </c>
      <c r="C56" s="40" t="str">
        <f aca="false">IF($H56="","",INDEX(Задачи!$B$1:$B$501,$H56)&amp;"")</f>
        <v/>
      </c>
      <c r="D56" s="39" t="str">
        <f aca="false">IF($H56="","",INDEX(Задачи!$C$1:$C$501,$H56)&amp;"")</f>
        <v/>
      </c>
      <c r="E56" s="41" t="str">
        <f aca="false">IF($H56="","",IF(INDEX(Задачи!$E$1:$E$501,$H56)="","",INDEX(Задачи!$E$1:$E$501,$H56)))</f>
        <v/>
      </c>
      <c r="F56" s="41" t="str">
        <f aca="false">IF($H56="","",IF(INDEX(Задачи!$F$1:$F$501,$H56)="","",INDEX(Задачи!$F$1:$F$501,$H56)))</f>
        <v/>
      </c>
      <c r="G56" s="40" t="str">
        <f aca="false">IF($H56="","",INDEX(Задачи!$I$1:$I$501,$H56)&amp;"")</f>
        <v/>
      </c>
      <c r="H56" s="20" t="str">
        <f aca="false">IFERROR(MOD(LARGE(Задачи!$P$2:$P$501,ROWS(H$5:H56)),1000),"")</f>
        <v/>
      </c>
    </row>
    <row r="57" customFormat="false" ht="30" hidden="false" customHeight="true" outlineLevel="0" collapsed="false">
      <c r="A57" s="39" t="str">
        <f aca="false">IF($H57="","",ROWS(A$5:A57))</f>
        <v/>
      </c>
      <c r="B57" s="40" t="str">
        <f aca="false">IF($H57="","",INDEX(Задачи!$A$1:$A$501,$H57)&amp;"")</f>
        <v/>
      </c>
      <c r="C57" s="40" t="str">
        <f aca="false">IF($H57="","",INDEX(Задачи!$B$1:$B$501,$H57)&amp;"")</f>
        <v/>
      </c>
      <c r="D57" s="39" t="str">
        <f aca="false">IF($H57="","",INDEX(Задачи!$C$1:$C$501,$H57)&amp;"")</f>
        <v/>
      </c>
      <c r="E57" s="41" t="str">
        <f aca="false">IF($H57="","",IF(INDEX(Задачи!$E$1:$E$501,$H57)="","",INDEX(Задачи!$E$1:$E$501,$H57)))</f>
        <v/>
      </c>
      <c r="F57" s="41" t="str">
        <f aca="false">IF($H57="","",IF(INDEX(Задачи!$F$1:$F$501,$H57)="","",INDEX(Задачи!$F$1:$F$501,$H57)))</f>
        <v/>
      </c>
      <c r="G57" s="40" t="str">
        <f aca="false">IF($H57="","",INDEX(Задачи!$I$1:$I$501,$H57)&amp;"")</f>
        <v/>
      </c>
      <c r="H57" s="20" t="str">
        <f aca="false">IFERROR(MOD(LARGE(Задачи!$P$2:$P$501,ROWS(H$5:H57)),1000),"")</f>
        <v/>
      </c>
    </row>
    <row r="58" customFormat="false" ht="30" hidden="false" customHeight="true" outlineLevel="0" collapsed="false">
      <c r="A58" s="39" t="str">
        <f aca="false">IF($H58="","",ROWS(A$5:A58))</f>
        <v/>
      </c>
      <c r="B58" s="40" t="str">
        <f aca="false">IF($H58="","",INDEX(Задачи!$A$1:$A$501,$H58)&amp;"")</f>
        <v/>
      </c>
      <c r="C58" s="40" t="str">
        <f aca="false">IF($H58="","",INDEX(Задачи!$B$1:$B$501,$H58)&amp;"")</f>
        <v/>
      </c>
      <c r="D58" s="39" t="str">
        <f aca="false">IF($H58="","",INDEX(Задачи!$C$1:$C$501,$H58)&amp;"")</f>
        <v/>
      </c>
      <c r="E58" s="41" t="str">
        <f aca="false">IF($H58="","",IF(INDEX(Задачи!$E$1:$E$501,$H58)="","",INDEX(Задачи!$E$1:$E$501,$H58)))</f>
        <v/>
      </c>
      <c r="F58" s="41" t="str">
        <f aca="false">IF($H58="","",IF(INDEX(Задачи!$F$1:$F$501,$H58)="","",INDEX(Задачи!$F$1:$F$501,$H58)))</f>
        <v/>
      </c>
      <c r="G58" s="40" t="str">
        <f aca="false">IF($H58="","",INDEX(Задачи!$I$1:$I$501,$H58)&amp;"")</f>
        <v/>
      </c>
      <c r="H58" s="20" t="str">
        <f aca="false">IFERROR(MOD(LARGE(Задачи!$P$2:$P$501,ROWS(H$5:H58)),1000),"")</f>
        <v/>
      </c>
    </row>
    <row r="59" customFormat="false" ht="30" hidden="false" customHeight="true" outlineLevel="0" collapsed="false">
      <c r="A59" s="39" t="str">
        <f aca="false">IF($H59="","",ROWS(A$5:A59))</f>
        <v/>
      </c>
      <c r="B59" s="40" t="str">
        <f aca="false">IF($H59="","",INDEX(Задачи!$A$1:$A$501,$H59)&amp;"")</f>
        <v/>
      </c>
      <c r="C59" s="40" t="str">
        <f aca="false">IF($H59="","",INDEX(Задачи!$B$1:$B$501,$H59)&amp;"")</f>
        <v/>
      </c>
      <c r="D59" s="39" t="str">
        <f aca="false">IF($H59="","",INDEX(Задачи!$C$1:$C$501,$H59)&amp;"")</f>
        <v/>
      </c>
      <c r="E59" s="41" t="str">
        <f aca="false">IF($H59="","",IF(INDEX(Задачи!$E$1:$E$501,$H59)="","",INDEX(Задачи!$E$1:$E$501,$H59)))</f>
        <v/>
      </c>
      <c r="F59" s="41" t="str">
        <f aca="false">IF($H59="","",IF(INDEX(Задачи!$F$1:$F$501,$H59)="","",INDEX(Задачи!$F$1:$F$501,$H59)))</f>
        <v/>
      </c>
      <c r="G59" s="40" t="str">
        <f aca="false">IF($H59="","",INDEX(Задачи!$I$1:$I$501,$H59)&amp;"")</f>
        <v/>
      </c>
      <c r="H59" s="20" t="str">
        <f aca="false">IFERROR(MOD(LARGE(Задачи!$P$2:$P$501,ROWS(H$5:H59)),1000),"")</f>
        <v/>
      </c>
    </row>
    <row r="60" customFormat="false" ht="30" hidden="false" customHeight="true" outlineLevel="0" collapsed="false">
      <c r="A60" s="39" t="str">
        <f aca="false">IF($H60="","",ROWS(A$5:A60))</f>
        <v/>
      </c>
      <c r="B60" s="40" t="str">
        <f aca="false">IF($H60="","",INDEX(Задачи!$A$1:$A$501,$H60)&amp;"")</f>
        <v/>
      </c>
      <c r="C60" s="40" t="str">
        <f aca="false">IF($H60="","",INDEX(Задачи!$B$1:$B$501,$H60)&amp;"")</f>
        <v/>
      </c>
      <c r="D60" s="39" t="str">
        <f aca="false">IF($H60="","",INDEX(Задачи!$C$1:$C$501,$H60)&amp;"")</f>
        <v/>
      </c>
      <c r="E60" s="41" t="str">
        <f aca="false">IF($H60="","",IF(INDEX(Задачи!$E$1:$E$501,$H60)="","",INDEX(Задачи!$E$1:$E$501,$H60)))</f>
        <v/>
      </c>
      <c r="F60" s="41" t="str">
        <f aca="false">IF($H60="","",IF(INDEX(Задачи!$F$1:$F$501,$H60)="","",INDEX(Задачи!$F$1:$F$501,$H60)))</f>
        <v/>
      </c>
      <c r="G60" s="40" t="str">
        <f aca="false">IF($H60="","",INDEX(Задачи!$I$1:$I$501,$H60)&amp;"")</f>
        <v/>
      </c>
      <c r="H60" s="20" t="str">
        <f aca="false">IFERROR(MOD(LARGE(Задачи!$P$2:$P$501,ROWS(H$5:H60)),1000),"")</f>
        <v/>
      </c>
    </row>
    <row r="61" customFormat="false" ht="30" hidden="false" customHeight="true" outlineLevel="0" collapsed="false">
      <c r="A61" s="39" t="str">
        <f aca="false">IF($H61="","",ROWS(A$5:A61))</f>
        <v/>
      </c>
      <c r="B61" s="40" t="str">
        <f aca="false">IF($H61="","",INDEX(Задачи!$A$1:$A$501,$H61)&amp;"")</f>
        <v/>
      </c>
      <c r="C61" s="40" t="str">
        <f aca="false">IF($H61="","",INDEX(Задачи!$B$1:$B$501,$H61)&amp;"")</f>
        <v/>
      </c>
      <c r="D61" s="39" t="str">
        <f aca="false">IF($H61="","",INDEX(Задачи!$C$1:$C$501,$H61)&amp;"")</f>
        <v/>
      </c>
      <c r="E61" s="41" t="str">
        <f aca="false">IF($H61="","",IF(INDEX(Задачи!$E$1:$E$501,$H61)="","",INDEX(Задачи!$E$1:$E$501,$H61)))</f>
        <v/>
      </c>
      <c r="F61" s="41" t="str">
        <f aca="false">IF($H61="","",IF(INDEX(Задачи!$F$1:$F$501,$H61)="","",INDEX(Задачи!$F$1:$F$501,$H61)))</f>
        <v/>
      </c>
      <c r="G61" s="40" t="str">
        <f aca="false">IF($H61="","",INDEX(Задачи!$I$1:$I$501,$H61)&amp;"")</f>
        <v/>
      </c>
      <c r="H61" s="20" t="str">
        <f aca="false">IFERROR(MOD(LARGE(Задачи!$P$2:$P$501,ROWS(H$5:H61)),1000),"")</f>
        <v/>
      </c>
    </row>
    <row r="62" customFormat="false" ht="30" hidden="false" customHeight="true" outlineLevel="0" collapsed="false">
      <c r="A62" s="39" t="str">
        <f aca="false">IF($H62="","",ROWS(A$5:A62))</f>
        <v/>
      </c>
      <c r="B62" s="40" t="str">
        <f aca="false">IF($H62="","",INDEX(Задачи!$A$1:$A$501,$H62)&amp;"")</f>
        <v/>
      </c>
      <c r="C62" s="40" t="str">
        <f aca="false">IF($H62="","",INDEX(Задачи!$B$1:$B$501,$H62)&amp;"")</f>
        <v/>
      </c>
      <c r="D62" s="39" t="str">
        <f aca="false">IF($H62="","",INDEX(Задачи!$C$1:$C$501,$H62)&amp;"")</f>
        <v/>
      </c>
      <c r="E62" s="41" t="str">
        <f aca="false">IF($H62="","",IF(INDEX(Задачи!$E$1:$E$501,$H62)="","",INDEX(Задачи!$E$1:$E$501,$H62)))</f>
        <v/>
      </c>
      <c r="F62" s="41" t="str">
        <f aca="false">IF($H62="","",IF(INDEX(Задачи!$F$1:$F$501,$H62)="","",INDEX(Задачи!$F$1:$F$501,$H62)))</f>
        <v/>
      </c>
      <c r="G62" s="40" t="str">
        <f aca="false">IF($H62="","",INDEX(Задачи!$I$1:$I$501,$H62)&amp;"")</f>
        <v/>
      </c>
      <c r="H62" s="20" t="str">
        <f aca="false">IFERROR(MOD(LARGE(Задачи!$P$2:$P$501,ROWS(H$5:H62)),1000),"")</f>
        <v/>
      </c>
    </row>
    <row r="63" customFormat="false" ht="30" hidden="false" customHeight="true" outlineLevel="0" collapsed="false">
      <c r="A63" s="39" t="str">
        <f aca="false">IF($H63="","",ROWS(A$5:A63))</f>
        <v/>
      </c>
      <c r="B63" s="40" t="str">
        <f aca="false">IF($H63="","",INDEX(Задачи!$A$1:$A$501,$H63)&amp;"")</f>
        <v/>
      </c>
      <c r="C63" s="40" t="str">
        <f aca="false">IF($H63="","",INDEX(Задачи!$B$1:$B$501,$H63)&amp;"")</f>
        <v/>
      </c>
      <c r="D63" s="39" t="str">
        <f aca="false">IF($H63="","",INDEX(Задачи!$C$1:$C$501,$H63)&amp;"")</f>
        <v/>
      </c>
      <c r="E63" s="41" t="str">
        <f aca="false">IF($H63="","",IF(INDEX(Задачи!$E$1:$E$501,$H63)="","",INDEX(Задачи!$E$1:$E$501,$H63)))</f>
        <v/>
      </c>
      <c r="F63" s="41" t="str">
        <f aca="false">IF($H63="","",IF(INDEX(Задачи!$F$1:$F$501,$H63)="","",INDEX(Задачи!$F$1:$F$501,$H63)))</f>
        <v/>
      </c>
      <c r="G63" s="40" t="str">
        <f aca="false">IF($H63="","",INDEX(Задачи!$I$1:$I$501,$H63)&amp;"")</f>
        <v/>
      </c>
      <c r="H63" s="20" t="str">
        <f aca="false">IFERROR(MOD(LARGE(Задачи!$P$2:$P$501,ROWS(H$5:H63)),1000),"")</f>
        <v/>
      </c>
    </row>
    <row r="64" customFormat="false" ht="30" hidden="false" customHeight="true" outlineLevel="0" collapsed="false">
      <c r="A64" s="39" t="str">
        <f aca="false">IF($H64="","",ROWS(A$5:A64))</f>
        <v/>
      </c>
      <c r="B64" s="40" t="str">
        <f aca="false">IF($H64="","",INDEX(Задачи!$A$1:$A$501,$H64)&amp;"")</f>
        <v/>
      </c>
      <c r="C64" s="40" t="str">
        <f aca="false">IF($H64="","",INDEX(Задачи!$B$1:$B$501,$H64)&amp;"")</f>
        <v/>
      </c>
      <c r="D64" s="39" t="str">
        <f aca="false">IF($H64="","",INDEX(Задачи!$C$1:$C$501,$H64)&amp;"")</f>
        <v/>
      </c>
      <c r="E64" s="41" t="str">
        <f aca="false">IF($H64="","",IF(INDEX(Задачи!$E$1:$E$501,$H64)="","",INDEX(Задачи!$E$1:$E$501,$H64)))</f>
        <v/>
      </c>
      <c r="F64" s="41" t="str">
        <f aca="false">IF($H64="","",IF(INDEX(Задачи!$F$1:$F$501,$H64)="","",INDEX(Задачи!$F$1:$F$501,$H64)))</f>
        <v/>
      </c>
      <c r="G64" s="40" t="str">
        <f aca="false">IF($H64="","",INDEX(Задачи!$I$1:$I$501,$H64)&amp;"")</f>
        <v/>
      </c>
      <c r="H64" s="20" t="str">
        <f aca="false">IFERROR(MOD(LARGE(Задачи!$P$2:$P$501,ROWS(H$5:H64)),1000),"")</f>
        <v/>
      </c>
    </row>
    <row r="65" customFormat="false" ht="30" hidden="false" customHeight="true" outlineLevel="0" collapsed="false">
      <c r="A65" s="39" t="str">
        <f aca="false">IF($H65="","",ROWS(A$5:A65))</f>
        <v/>
      </c>
      <c r="B65" s="40" t="str">
        <f aca="false">IF($H65="","",INDEX(Задачи!$A$1:$A$501,$H65)&amp;"")</f>
        <v/>
      </c>
      <c r="C65" s="40" t="str">
        <f aca="false">IF($H65="","",INDEX(Задачи!$B$1:$B$501,$H65)&amp;"")</f>
        <v/>
      </c>
      <c r="D65" s="39" t="str">
        <f aca="false">IF($H65="","",INDEX(Задачи!$C$1:$C$501,$H65)&amp;"")</f>
        <v/>
      </c>
      <c r="E65" s="41" t="str">
        <f aca="false">IF($H65="","",IF(INDEX(Задачи!$E$1:$E$501,$H65)="","",INDEX(Задачи!$E$1:$E$501,$H65)))</f>
        <v/>
      </c>
      <c r="F65" s="41" t="str">
        <f aca="false">IF($H65="","",IF(INDEX(Задачи!$F$1:$F$501,$H65)="","",INDEX(Задачи!$F$1:$F$501,$H65)))</f>
        <v/>
      </c>
      <c r="G65" s="40" t="str">
        <f aca="false">IF($H65="","",INDEX(Задачи!$I$1:$I$501,$H65)&amp;"")</f>
        <v/>
      </c>
      <c r="H65" s="20" t="str">
        <f aca="false">IFERROR(MOD(LARGE(Задачи!$P$2:$P$501,ROWS(H$5:H65)),1000),"")</f>
        <v/>
      </c>
    </row>
    <row r="66" customFormat="false" ht="30" hidden="false" customHeight="true" outlineLevel="0" collapsed="false">
      <c r="A66" s="39" t="str">
        <f aca="false">IF($H66="","",ROWS(A$5:A66))</f>
        <v/>
      </c>
      <c r="B66" s="40" t="str">
        <f aca="false">IF($H66="","",INDEX(Задачи!$A$1:$A$501,$H66)&amp;"")</f>
        <v/>
      </c>
      <c r="C66" s="40" t="str">
        <f aca="false">IF($H66="","",INDEX(Задачи!$B$1:$B$501,$H66)&amp;"")</f>
        <v/>
      </c>
      <c r="D66" s="39" t="str">
        <f aca="false">IF($H66="","",INDEX(Задачи!$C$1:$C$501,$H66)&amp;"")</f>
        <v/>
      </c>
      <c r="E66" s="41" t="str">
        <f aca="false">IF($H66="","",IF(INDEX(Задачи!$E$1:$E$501,$H66)="","",INDEX(Задачи!$E$1:$E$501,$H66)))</f>
        <v/>
      </c>
      <c r="F66" s="41" t="str">
        <f aca="false">IF($H66="","",IF(INDEX(Задачи!$F$1:$F$501,$H66)="","",INDEX(Задачи!$F$1:$F$501,$H66)))</f>
        <v/>
      </c>
      <c r="G66" s="40" t="str">
        <f aca="false">IF($H66="","",INDEX(Задачи!$I$1:$I$501,$H66)&amp;"")</f>
        <v/>
      </c>
      <c r="H66" s="20" t="str">
        <f aca="false">IFERROR(MOD(LARGE(Задачи!$P$2:$P$501,ROWS(H$5:H66)),1000),"")</f>
        <v/>
      </c>
    </row>
    <row r="67" customFormat="false" ht="30" hidden="false" customHeight="true" outlineLevel="0" collapsed="false">
      <c r="A67" s="39" t="str">
        <f aca="false">IF($H67="","",ROWS(A$5:A67))</f>
        <v/>
      </c>
      <c r="B67" s="40" t="str">
        <f aca="false">IF($H67="","",INDEX(Задачи!$A$1:$A$501,$H67)&amp;"")</f>
        <v/>
      </c>
      <c r="C67" s="40" t="str">
        <f aca="false">IF($H67="","",INDEX(Задачи!$B$1:$B$501,$H67)&amp;"")</f>
        <v/>
      </c>
      <c r="D67" s="39" t="str">
        <f aca="false">IF($H67="","",INDEX(Задачи!$C$1:$C$501,$H67)&amp;"")</f>
        <v/>
      </c>
      <c r="E67" s="41" t="str">
        <f aca="false">IF($H67="","",IF(INDEX(Задачи!$E$1:$E$501,$H67)="","",INDEX(Задачи!$E$1:$E$501,$H67)))</f>
        <v/>
      </c>
      <c r="F67" s="41" t="str">
        <f aca="false">IF($H67="","",IF(INDEX(Задачи!$F$1:$F$501,$H67)="","",INDEX(Задачи!$F$1:$F$501,$H67)))</f>
        <v/>
      </c>
      <c r="G67" s="40" t="str">
        <f aca="false">IF($H67="","",INDEX(Задачи!$I$1:$I$501,$H67)&amp;"")</f>
        <v/>
      </c>
      <c r="H67" s="20" t="str">
        <f aca="false">IFERROR(MOD(LARGE(Задачи!$P$2:$P$501,ROWS(H$5:H67)),1000),"")</f>
        <v/>
      </c>
    </row>
    <row r="68" customFormat="false" ht="30" hidden="false" customHeight="true" outlineLevel="0" collapsed="false">
      <c r="A68" s="39" t="str">
        <f aca="false">IF($H68="","",ROWS(A$5:A68))</f>
        <v/>
      </c>
      <c r="B68" s="40" t="str">
        <f aca="false">IF($H68="","",INDEX(Задачи!$A$1:$A$501,$H68)&amp;"")</f>
        <v/>
      </c>
      <c r="C68" s="40" t="str">
        <f aca="false">IF($H68="","",INDEX(Задачи!$B$1:$B$501,$H68)&amp;"")</f>
        <v/>
      </c>
      <c r="D68" s="39" t="str">
        <f aca="false">IF($H68="","",INDEX(Задачи!$C$1:$C$501,$H68)&amp;"")</f>
        <v/>
      </c>
      <c r="E68" s="41" t="str">
        <f aca="false">IF($H68="","",IF(INDEX(Задачи!$E$1:$E$501,$H68)="","",INDEX(Задачи!$E$1:$E$501,$H68)))</f>
        <v/>
      </c>
      <c r="F68" s="41" t="str">
        <f aca="false">IF($H68="","",IF(INDEX(Задачи!$F$1:$F$501,$H68)="","",INDEX(Задачи!$F$1:$F$501,$H68)))</f>
        <v/>
      </c>
      <c r="G68" s="40" t="str">
        <f aca="false">IF($H68="","",INDEX(Задачи!$I$1:$I$501,$H68)&amp;"")</f>
        <v/>
      </c>
      <c r="H68" s="20" t="str">
        <f aca="false">IFERROR(MOD(LARGE(Задачи!$P$2:$P$501,ROWS(H$5:H68)),1000),"")</f>
        <v/>
      </c>
    </row>
    <row r="69" customFormat="false" ht="30" hidden="false" customHeight="true" outlineLevel="0" collapsed="false">
      <c r="A69" s="39" t="str">
        <f aca="false">IF($H69="","",ROWS(A$5:A69))</f>
        <v/>
      </c>
      <c r="B69" s="40" t="str">
        <f aca="false">IF($H69="","",INDEX(Задачи!$A$1:$A$501,$H69)&amp;"")</f>
        <v/>
      </c>
      <c r="C69" s="40" t="str">
        <f aca="false">IF($H69="","",INDEX(Задачи!$B$1:$B$501,$H69)&amp;"")</f>
        <v/>
      </c>
      <c r="D69" s="39" t="str">
        <f aca="false">IF($H69="","",INDEX(Задачи!$C$1:$C$501,$H69)&amp;"")</f>
        <v/>
      </c>
      <c r="E69" s="41" t="str">
        <f aca="false">IF($H69="","",IF(INDEX(Задачи!$E$1:$E$501,$H69)="","",INDEX(Задачи!$E$1:$E$501,$H69)))</f>
        <v/>
      </c>
      <c r="F69" s="41" t="str">
        <f aca="false">IF($H69="","",IF(INDEX(Задачи!$F$1:$F$501,$H69)="","",INDEX(Задачи!$F$1:$F$501,$H69)))</f>
        <v/>
      </c>
      <c r="G69" s="40" t="str">
        <f aca="false">IF($H69="","",INDEX(Задачи!$I$1:$I$501,$H69)&amp;"")</f>
        <v/>
      </c>
      <c r="H69" s="20" t="str">
        <f aca="false">IFERROR(MOD(LARGE(Задачи!$P$2:$P$501,ROWS(H$5:H69)),1000),"")</f>
        <v/>
      </c>
    </row>
    <row r="70" customFormat="false" ht="30" hidden="false" customHeight="true" outlineLevel="0" collapsed="false">
      <c r="A70" s="39" t="str">
        <f aca="false">IF($H70="","",ROWS(A$5:A70))</f>
        <v/>
      </c>
      <c r="B70" s="40" t="str">
        <f aca="false">IF($H70="","",INDEX(Задачи!$A$1:$A$501,$H70)&amp;"")</f>
        <v/>
      </c>
      <c r="C70" s="40" t="str">
        <f aca="false">IF($H70="","",INDEX(Задачи!$B$1:$B$501,$H70)&amp;"")</f>
        <v/>
      </c>
      <c r="D70" s="39" t="str">
        <f aca="false">IF($H70="","",INDEX(Задачи!$C$1:$C$501,$H70)&amp;"")</f>
        <v/>
      </c>
      <c r="E70" s="41" t="str">
        <f aca="false">IF($H70="","",IF(INDEX(Задачи!$E$1:$E$501,$H70)="","",INDEX(Задачи!$E$1:$E$501,$H70)))</f>
        <v/>
      </c>
      <c r="F70" s="41" t="str">
        <f aca="false">IF($H70="","",IF(INDEX(Задачи!$F$1:$F$501,$H70)="","",INDEX(Задачи!$F$1:$F$501,$H70)))</f>
        <v/>
      </c>
      <c r="G70" s="40" t="str">
        <f aca="false">IF($H70="","",INDEX(Задачи!$I$1:$I$501,$H70)&amp;"")</f>
        <v/>
      </c>
      <c r="H70" s="20" t="str">
        <f aca="false">IFERROR(MOD(LARGE(Задачи!$P$2:$P$501,ROWS(H$5:H70)),1000),"")</f>
        <v/>
      </c>
    </row>
    <row r="71" customFormat="false" ht="30" hidden="false" customHeight="true" outlineLevel="0" collapsed="false">
      <c r="A71" s="39" t="str">
        <f aca="false">IF($H71="","",ROWS(A$5:A71))</f>
        <v/>
      </c>
      <c r="B71" s="40" t="str">
        <f aca="false">IF($H71="","",INDEX(Задачи!$A$1:$A$501,$H71)&amp;"")</f>
        <v/>
      </c>
      <c r="C71" s="40" t="str">
        <f aca="false">IF($H71="","",INDEX(Задачи!$B$1:$B$501,$H71)&amp;"")</f>
        <v/>
      </c>
      <c r="D71" s="39" t="str">
        <f aca="false">IF($H71="","",INDEX(Задачи!$C$1:$C$501,$H71)&amp;"")</f>
        <v/>
      </c>
      <c r="E71" s="41" t="str">
        <f aca="false">IF($H71="","",IF(INDEX(Задачи!$E$1:$E$501,$H71)="","",INDEX(Задачи!$E$1:$E$501,$H71)))</f>
        <v/>
      </c>
      <c r="F71" s="41" t="str">
        <f aca="false">IF($H71="","",IF(INDEX(Задачи!$F$1:$F$501,$H71)="","",INDEX(Задачи!$F$1:$F$501,$H71)))</f>
        <v/>
      </c>
      <c r="G71" s="40" t="str">
        <f aca="false">IF($H71="","",INDEX(Задачи!$I$1:$I$501,$H71)&amp;"")</f>
        <v/>
      </c>
      <c r="H71" s="20" t="str">
        <f aca="false">IFERROR(MOD(LARGE(Задачи!$P$2:$P$501,ROWS(H$5:H71)),1000),"")</f>
        <v/>
      </c>
    </row>
    <row r="72" customFormat="false" ht="30" hidden="false" customHeight="true" outlineLevel="0" collapsed="false">
      <c r="A72" s="39" t="str">
        <f aca="false">IF($H72="","",ROWS(A$5:A72))</f>
        <v/>
      </c>
      <c r="B72" s="40" t="str">
        <f aca="false">IF($H72="","",INDEX(Задачи!$A$1:$A$501,$H72)&amp;"")</f>
        <v/>
      </c>
      <c r="C72" s="40" t="str">
        <f aca="false">IF($H72="","",INDEX(Задачи!$B$1:$B$501,$H72)&amp;"")</f>
        <v/>
      </c>
      <c r="D72" s="39" t="str">
        <f aca="false">IF($H72="","",INDEX(Задачи!$C$1:$C$501,$H72)&amp;"")</f>
        <v/>
      </c>
      <c r="E72" s="41" t="str">
        <f aca="false">IF($H72="","",IF(INDEX(Задачи!$E$1:$E$501,$H72)="","",INDEX(Задачи!$E$1:$E$501,$H72)))</f>
        <v/>
      </c>
      <c r="F72" s="41" t="str">
        <f aca="false">IF($H72="","",IF(INDEX(Задачи!$F$1:$F$501,$H72)="","",INDEX(Задачи!$F$1:$F$501,$H72)))</f>
        <v/>
      </c>
      <c r="G72" s="40" t="str">
        <f aca="false">IF($H72="","",INDEX(Задачи!$I$1:$I$501,$H72)&amp;"")</f>
        <v/>
      </c>
      <c r="H72" s="20" t="str">
        <f aca="false">IFERROR(MOD(LARGE(Задачи!$P$2:$P$501,ROWS(H$5:H72)),1000),"")</f>
        <v/>
      </c>
    </row>
    <row r="73" customFormat="false" ht="30" hidden="false" customHeight="true" outlineLevel="0" collapsed="false">
      <c r="A73" s="39" t="str">
        <f aca="false">IF($H73="","",ROWS(A$5:A73))</f>
        <v/>
      </c>
      <c r="B73" s="40" t="str">
        <f aca="false">IF($H73="","",INDEX(Задачи!$A$1:$A$501,$H73)&amp;"")</f>
        <v/>
      </c>
      <c r="C73" s="40" t="str">
        <f aca="false">IF($H73="","",INDEX(Задачи!$B$1:$B$501,$H73)&amp;"")</f>
        <v/>
      </c>
      <c r="D73" s="39" t="str">
        <f aca="false">IF($H73="","",INDEX(Задачи!$C$1:$C$501,$H73)&amp;"")</f>
        <v/>
      </c>
      <c r="E73" s="41" t="str">
        <f aca="false">IF($H73="","",IF(INDEX(Задачи!$E$1:$E$501,$H73)="","",INDEX(Задачи!$E$1:$E$501,$H73)))</f>
        <v/>
      </c>
      <c r="F73" s="41" t="str">
        <f aca="false">IF($H73="","",IF(INDEX(Задачи!$F$1:$F$501,$H73)="","",INDEX(Задачи!$F$1:$F$501,$H73)))</f>
        <v/>
      </c>
      <c r="G73" s="40" t="str">
        <f aca="false">IF($H73="","",INDEX(Задачи!$I$1:$I$501,$H73)&amp;"")</f>
        <v/>
      </c>
      <c r="H73" s="20" t="str">
        <f aca="false">IFERROR(MOD(LARGE(Задачи!$P$2:$P$501,ROWS(H$5:H73)),1000),"")</f>
        <v/>
      </c>
    </row>
    <row r="74" customFormat="false" ht="30" hidden="false" customHeight="true" outlineLevel="0" collapsed="false">
      <c r="A74" s="39" t="str">
        <f aca="false">IF($H74="","",ROWS(A$5:A74))</f>
        <v/>
      </c>
      <c r="B74" s="40" t="str">
        <f aca="false">IF($H74="","",INDEX(Задачи!$A$1:$A$501,$H74)&amp;"")</f>
        <v/>
      </c>
      <c r="C74" s="40" t="str">
        <f aca="false">IF($H74="","",INDEX(Задачи!$B$1:$B$501,$H74)&amp;"")</f>
        <v/>
      </c>
      <c r="D74" s="39" t="str">
        <f aca="false">IF($H74="","",INDEX(Задачи!$C$1:$C$501,$H74)&amp;"")</f>
        <v/>
      </c>
      <c r="E74" s="41" t="str">
        <f aca="false">IF($H74="","",IF(INDEX(Задачи!$E$1:$E$501,$H74)="","",INDEX(Задачи!$E$1:$E$501,$H74)))</f>
        <v/>
      </c>
      <c r="F74" s="41" t="str">
        <f aca="false">IF($H74="","",IF(INDEX(Задачи!$F$1:$F$501,$H74)="","",INDEX(Задачи!$F$1:$F$501,$H74)))</f>
        <v/>
      </c>
      <c r="G74" s="40" t="str">
        <f aca="false">IF($H74="","",INDEX(Задачи!$I$1:$I$501,$H74)&amp;"")</f>
        <v/>
      </c>
      <c r="H74" s="20" t="str">
        <f aca="false">IFERROR(MOD(LARGE(Задачи!$P$2:$P$501,ROWS(H$5:H74)),1000),"")</f>
        <v/>
      </c>
    </row>
    <row r="75" customFormat="false" ht="30" hidden="false" customHeight="true" outlineLevel="0" collapsed="false">
      <c r="A75" s="39" t="str">
        <f aca="false">IF($H75="","",ROWS(A$5:A75))</f>
        <v/>
      </c>
      <c r="B75" s="40" t="str">
        <f aca="false">IF($H75="","",INDEX(Задачи!$A$1:$A$501,$H75)&amp;"")</f>
        <v/>
      </c>
      <c r="C75" s="40" t="str">
        <f aca="false">IF($H75="","",INDEX(Задачи!$B$1:$B$501,$H75)&amp;"")</f>
        <v/>
      </c>
      <c r="D75" s="39" t="str">
        <f aca="false">IF($H75="","",INDEX(Задачи!$C$1:$C$501,$H75)&amp;"")</f>
        <v/>
      </c>
      <c r="E75" s="41" t="str">
        <f aca="false">IF($H75="","",IF(INDEX(Задачи!$E$1:$E$501,$H75)="","",INDEX(Задачи!$E$1:$E$501,$H75)))</f>
        <v/>
      </c>
      <c r="F75" s="41" t="str">
        <f aca="false">IF($H75="","",IF(INDEX(Задачи!$F$1:$F$501,$H75)="","",INDEX(Задачи!$F$1:$F$501,$H75)))</f>
        <v/>
      </c>
      <c r="G75" s="40" t="str">
        <f aca="false">IF($H75="","",INDEX(Задачи!$I$1:$I$501,$H75)&amp;"")</f>
        <v/>
      </c>
      <c r="H75" s="20" t="str">
        <f aca="false">IFERROR(MOD(LARGE(Задачи!$P$2:$P$501,ROWS(H$5:H75)),1000),"")</f>
        <v/>
      </c>
    </row>
    <row r="76" customFormat="false" ht="30" hidden="false" customHeight="true" outlineLevel="0" collapsed="false">
      <c r="A76" s="39" t="str">
        <f aca="false">IF($H76="","",ROWS(A$5:A76))</f>
        <v/>
      </c>
      <c r="B76" s="40" t="str">
        <f aca="false">IF($H76="","",INDEX(Задачи!$A$1:$A$501,$H76)&amp;"")</f>
        <v/>
      </c>
      <c r="C76" s="40" t="str">
        <f aca="false">IF($H76="","",INDEX(Задачи!$B$1:$B$501,$H76)&amp;"")</f>
        <v/>
      </c>
      <c r="D76" s="39" t="str">
        <f aca="false">IF($H76="","",INDEX(Задачи!$C$1:$C$501,$H76)&amp;"")</f>
        <v/>
      </c>
      <c r="E76" s="41" t="str">
        <f aca="false">IF($H76="","",IF(INDEX(Задачи!$E$1:$E$501,$H76)="","",INDEX(Задачи!$E$1:$E$501,$H76)))</f>
        <v/>
      </c>
      <c r="F76" s="41" t="str">
        <f aca="false">IF($H76="","",IF(INDEX(Задачи!$F$1:$F$501,$H76)="","",INDEX(Задачи!$F$1:$F$501,$H76)))</f>
        <v/>
      </c>
      <c r="G76" s="40" t="str">
        <f aca="false">IF($H76="","",INDEX(Задачи!$I$1:$I$501,$H76)&amp;"")</f>
        <v/>
      </c>
      <c r="H76" s="20" t="str">
        <f aca="false">IFERROR(MOD(LARGE(Задачи!$P$2:$P$501,ROWS(H$5:H76)),1000),"")</f>
        <v/>
      </c>
    </row>
    <row r="77" customFormat="false" ht="30" hidden="false" customHeight="true" outlineLevel="0" collapsed="false">
      <c r="A77" s="39" t="str">
        <f aca="false">IF($H77="","",ROWS(A$5:A77))</f>
        <v/>
      </c>
      <c r="B77" s="40" t="str">
        <f aca="false">IF($H77="","",INDEX(Задачи!$A$1:$A$501,$H77)&amp;"")</f>
        <v/>
      </c>
      <c r="C77" s="40" t="str">
        <f aca="false">IF($H77="","",INDEX(Задачи!$B$1:$B$501,$H77)&amp;"")</f>
        <v/>
      </c>
      <c r="D77" s="39" t="str">
        <f aca="false">IF($H77="","",INDEX(Задачи!$C$1:$C$501,$H77)&amp;"")</f>
        <v/>
      </c>
      <c r="E77" s="41" t="str">
        <f aca="false">IF($H77="","",IF(INDEX(Задачи!$E$1:$E$501,$H77)="","",INDEX(Задачи!$E$1:$E$501,$H77)))</f>
        <v/>
      </c>
      <c r="F77" s="41" t="str">
        <f aca="false">IF($H77="","",IF(INDEX(Задачи!$F$1:$F$501,$H77)="","",INDEX(Задачи!$F$1:$F$501,$H77)))</f>
        <v/>
      </c>
      <c r="G77" s="40" t="str">
        <f aca="false">IF($H77="","",INDEX(Задачи!$I$1:$I$501,$H77)&amp;"")</f>
        <v/>
      </c>
      <c r="H77" s="20" t="str">
        <f aca="false">IFERROR(MOD(LARGE(Задачи!$P$2:$P$501,ROWS(H$5:H77)),1000),"")</f>
        <v/>
      </c>
    </row>
    <row r="78" customFormat="false" ht="30" hidden="false" customHeight="true" outlineLevel="0" collapsed="false">
      <c r="A78" s="39" t="str">
        <f aca="false">IF($H78="","",ROWS(A$5:A78))</f>
        <v/>
      </c>
      <c r="B78" s="40" t="str">
        <f aca="false">IF($H78="","",INDEX(Задачи!$A$1:$A$501,$H78)&amp;"")</f>
        <v/>
      </c>
      <c r="C78" s="40" t="str">
        <f aca="false">IF($H78="","",INDEX(Задачи!$B$1:$B$501,$H78)&amp;"")</f>
        <v/>
      </c>
      <c r="D78" s="39" t="str">
        <f aca="false">IF($H78="","",INDEX(Задачи!$C$1:$C$501,$H78)&amp;"")</f>
        <v/>
      </c>
      <c r="E78" s="41" t="str">
        <f aca="false">IF($H78="","",IF(INDEX(Задачи!$E$1:$E$501,$H78)="","",INDEX(Задачи!$E$1:$E$501,$H78)))</f>
        <v/>
      </c>
      <c r="F78" s="41" t="str">
        <f aca="false">IF($H78="","",IF(INDEX(Задачи!$F$1:$F$501,$H78)="","",INDEX(Задачи!$F$1:$F$501,$H78)))</f>
        <v/>
      </c>
      <c r="G78" s="40" t="str">
        <f aca="false">IF($H78="","",INDEX(Задачи!$I$1:$I$501,$H78)&amp;"")</f>
        <v/>
      </c>
      <c r="H78" s="20" t="str">
        <f aca="false">IFERROR(MOD(LARGE(Задачи!$P$2:$P$501,ROWS(H$5:H78)),1000),"")</f>
        <v/>
      </c>
    </row>
    <row r="79" customFormat="false" ht="30" hidden="false" customHeight="true" outlineLevel="0" collapsed="false">
      <c r="A79" s="39" t="str">
        <f aca="false">IF($H79="","",ROWS(A$5:A79))</f>
        <v/>
      </c>
      <c r="B79" s="40" t="str">
        <f aca="false">IF($H79="","",INDEX(Задачи!$A$1:$A$501,$H79)&amp;"")</f>
        <v/>
      </c>
      <c r="C79" s="40" t="str">
        <f aca="false">IF($H79="","",INDEX(Задачи!$B$1:$B$501,$H79)&amp;"")</f>
        <v/>
      </c>
      <c r="D79" s="39" t="str">
        <f aca="false">IF($H79="","",INDEX(Задачи!$C$1:$C$501,$H79)&amp;"")</f>
        <v/>
      </c>
      <c r="E79" s="41" t="str">
        <f aca="false">IF($H79="","",IF(INDEX(Задачи!$E$1:$E$501,$H79)="","",INDEX(Задачи!$E$1:$E$501,$H79)))</f>
        <v/>
      </c>
      <c r="F79" s="41" t="str">
        <f aca="false">IF($H79="","",IF(INDEX(Задачи!$F$1:$F$501,$H79)="","",INDEX(Задачи!$F$1:$F$501,$H79)))</f>
        <v/>
      </c>
      <c r="G79" s="40" t="str">
        <f aca="false">IF($H79="","",INDEX(Задачи!$I$1:$I$501,$H79)&amp;"")</f>
        <v/>
      </c>
      <c r="H79" s="20" t="str">
        <f aca="false">IFERROR(MOD(LARGE(Задачи!$P$2:$P$501,ROWS(H$5:H79)),1000),"")</f>
        <v/>
      </c>
    </row>
    <row r="80" customFormat="false" ht="30" hidden="false" customHeight="true" outlineLevel="0" collapsed="false">
      <c r="A80" s="39" t="str">
        <f aca="false">IF($H80="","",ROWS(A$5:A80))</f>
        <v/>
      </c>
      <c r="B80" s="40" t="str">
        <f aca="false">IF($H80="","",INDEX(Задачи!$A$1:$A$501,$H80)&amp;"")</f>
        <v/>
      </c>
      <c r="C80" s="40" t="str">
        <f aca="false">IF($H80="","",INDEX(Задачи!$B$1:$B$501,$H80)&amp;"")</f>
        <v/>
      </c>
      <c r="D80" s="39" t="str">
        <f aca="false">IF($H80="","",INDEX(Задачи!$C$1:$C$501,$H80)&amp;"")</f>
        <v/>
      </c>
      <c r="E80" s="41" t="str">
        <f aca="false">IF($H80="","",IF(INDEX(Задачи!$E$1:$E$501,$H80)="","",INDEX(Задачи!$E$1:$E$501,$H80)))</f>
        <v/>
      </c>
      <c r="F80" s="41" t="str">
        <f aca="false">IF($H80="","",IF(INDEX(Задачи!$F$1:$F$501,$H80)="","",INDEX(Задачи!$F$1:$F$501,$H80)))</f>
        <v/>
      </c>
      <c r="G80" s="40" t="str">
        <f aca="false">IF($H80="","",INDEX(Задачи!$I$1:$I$501,$H80)&amp;"")</f>
        <v/>
      </c>
      <c r="H80" s="20" t="str">
        <f aca="false">IFERROR(MOD(LARGE(Задачи!$P$2:$P$501,ROWS(H$5:H80)),1000),"")</f>
        <v/>
      </c>
    </row>
    <row r="81" customFormat="false" ht="30" hidden="false" customHeight="true" outlineLevel="0" collapsed="false">
      <c r="A81" s="39" t="str">
        <f aca="false">IF($H81="","",ROWS(A$5:A81))</f>
        <v/>
      </c>
      <c r="B81" s="40" t="str">
        <f aca="false">IF($H81="","",INDEX(Задачи!$A$1:$A$501,$H81)&amp;"")</f>
        <v/>
      </c>
      <c r="C81" s="40" t="str">
        <f aca="false">IF($H81="","",INDEX(Задачи!$B$1:$B$501,$H81)&amp;"")</f>
        <v/>
      </c>
      <c r="D81" s="39" t="str">
        <f aca="false">IF($H81="","",INDEX(Задачи!$C$1:$C$501,$H81)&amp;"")</f>
        <v/>
      </c>
      <c r="E81" s="41" t="str">
        <f aca="false">IF($H81="","",IF(INDEX(Задачи!$E$1:$E$501,$H81)="","",INDEX(Задачи!$E$1:$E$501,$H81)))</f>
        <v/>
      </c>
      <c r="F81" s="41" t="str">
        <f aca="false">IF($H81="","",IF(INDEX(Задачи!$F$1:$F$501,$H81)="","",INDEX(Задачи!$F$1:$F$501,$H81)))</f>
        <v/>
      </c>
      <c r="G81" s="40" t="str">
        <f aca="false">IF($H81="","",INDEX(Задачи!$I$1:$I$501,$H81)&amp;"")</f>
        <v/>
      </c>
      <c r="H81" s="20" t="str">
        <f aca="false">IFERROR(MOD(LARGE(Задачи!$P$2:$P$501,ROWS(H$5:H81)),1000),"")</f>
        <v/>
      </c>
    </row>
    <row r="82" customFormat="false" ht="30" hidden="false" customHeight="true" outlineLevel="0" collapsed="false">
      <c r="A82" s="39" t="str">
        <f aca="false">IF($H82="","",ROWS(A$5:A82))</f>
        <v/>
      </c>
      <c r="B82" s="40" t="str">
        <f aca="false">IF($H82="","",INDEX(Задачи!$A$1:$A$501,$H82)&amp;"")</f>
        <v/>
      </c>
      <c r="C82" s="40" t="str">
        <f aca="false">IF($H82="","",INDEX(Задачи!$B$1:$B$501,$H82)&amp;"")</f>
        <v/>
      </c>
      <c r="D82" s="39" t="str">
        <f aca="false">IF($H82="","",INDEX(Задачи!$C$1:$C$501,$H82)&amp;"")</f>
        <v/>
      </c>
      <c r="E82" s="41" t="str">
        <f aca="false">IF($H82="","",IF(INDEX(Задачи!$E$1:$E$501,$H82)="","",INDEX(Задачи!$E$1:$E$501,$H82)))</f>
        <v/>
      </c>
      <c r="F82" s="41" t="str">
        <f aca="false">IF($H82="","",IF(INDEX(Задачи!$F$1:$F$501,$H82)="","",INDEX(Задачи!$F$1:$F$501,$H82)))</f>
        <v/>
      </c>
      <c r="G82" s="40" t="str">
        <f aca="false">IF($H82="","",INDEX(Задачи!$I$1:$I$501,$H82)&amp;"")</f>
        <v/>
      </c>
      <c r="H82" s="20" t="str">
        <f aca="false">IFERROR(MOD(LARGE(Задачи!$P$2:$P$501,ROWS(H$5:H82)),1000),"")</f>
        <v/>
      </c>
    </row>
    <row r="83" customFormat="false" ht="30" hidden="false" customHeight="true" outlineLevel="0" collapsed="false">
      <c r="A83" s="39" t="str">
        <f aca="false">IF($H83="","",ROWS(A$5:A83))</f>
        <v/>
      </c>
      <c r="B83" s="40" t="str">
        <f aca="false">IF($H83="","",INDEX(Задачи!$A$1:$A$501,$H83)&amp;"")</f>
        <v/>
      </c>
      <c r="C83" s="40" t="str">
        <f aca="false">IF($H83="","",INDEX(Задачи!$B$1:$B$501,$H83)&amp;"")</f>
        <v/>
      </c>
      <c r="D83" s="39" t="str">
        <f aca="false">IF($H83="","",INDEX(Задачи!$C$1:$C$501,$H83)&amp;"")</f>
        <v/>
      </c>
      <c r="E83" s="41" t="str">
        <f aca="false">IF($H83="","",IF(INDEX(Задачи!$E$1:$E$501,$H83)="","",INDEX(Задачи!$E$1:$E$501,$H83)))</f>
        <v/>
      </c>
      <c r="F83" s="41" t="str">
        <f aca="false">IF($H83="","",IF(INDEX(Задачи!$F$1:$F$501,$H83)="","",INDEX(Задачи!$F$1:$F$501,$H83)))</f>
        <v/>
      </c>
      <c r="G83" s="40" t="str">
        <f aca="false">IF($H83="","",INDEX(Задачи!$I$1:$I$501,$H83)&amp;"")</f>
        <v/>
      </c>
      <c r="H83" s="20" t="str">
        <f aca="false">IFERROR(MOD(LARGE(Задачи!$P$2:$P$501,ROWS(H$5:H83)),1000),"")</f>
        <v/>
      </c>
    </row>
    <row r="84" customFormat="false" ht="30" hidden="false" customHeight="true" outlineLevel="0" collapsed="false">
      <c r="A84" s="39" t="str">
        <f aca="false">IF($H84="","",ROWS(A$5:A84))</f>
        <v/>
      </c>
      <c r="B84" s="40" t="str">
        <f aca="false">IF($H84="","",INDEX(Задачи!$A$1:$A$501,$H84)&amp;"")</f>
        <v/>
      </c>
      <c r="C84" s="40" t="str">
        <f aca="false">IF($H84="","",INDEX(Задачи!$B$1:$B$501,$H84)&amp;"")</f>
        <v/>
      </c>
      <c r="D84" s="39" t="str">
        <f aca="false">IF($H84="","",INDEX(Задачи!$C$1:$C$501,$H84)&amp;"")</f>
        <v/>
      </c>
      <c r="E84" s="41" t="str">
        <f aca="false">IF($H84="","",IF(INDEX(Задачи!$E$1:$E$501,$H84)="","",INDEX(Задачи!$E$1:$E$501,$H84)))</f>
        <v/>
      </c>
      <c r="F84" s="41" t="str">
        <f aca="false">IF($H84="","",IF(INDEX(Задачи!$F$1:$F$501,$H84)="","",INDEX(Задачи!$F$1:$F$501,$H84)))</f>
        <v/>
      </c>
      <c r="G84" s="40" t="str">
        <f aca="false">IF($H84="","",INDEX(Задачи!$I$1:$I$501,$H84)&amp;"")</f>
        <v/>
      </c>
      <c r="H84" s="20" t="str">
        <f aca="false">IFERROR(MOD(LARGE(Задачи!$P$2:$P$501,ROWS(H$5:H84)),1000),"")</f>
        <v/>
      </c>
    </row>
    <row r="85" customFormat="false" ht="30" hidden="false" customHeight="true" outlineLevel="0" collapsed="false">
      <c r="A85" s="39" t="str">
        <f aca="false">IF($H85="","",ROWS(A$5:A85))</f>
        <v/>
      </c>
      <c r="B85" s="40" t="str">
        <f aca="false">IF($H85="","",INDEX(Задачи!$A$1:$A$501,$H85)&amp;"")</f>
        <v/>
      </c>
      <c r="C85" s="40" t="str">
        <f aca="false">IF($H85="","",INDEX(Задачи!$B$1:$B$501,$H85)&amp;"")</f>
        <v/>
      </c>
      <c r="D85" s="39" t="str">
        <f aca="false">IF($H85="","",INDEX(Задачи!$C$1:$C$501,$H85)&amp;"")</f>
        <v/>
      </c>
      <c r="E85" s="41" t="str">
        <f aca="false">IF($H85="","",IF(INDEX(Задачи!$E$1:$E$501,$H85)="","",INDEX(Задачи!$E$1:$E$501,$H85)))</f>
        <v/>
      </c>
      <c r="F85" s="41" t="str">
        <f aca="false">IF($H85="","",IF(INDEX(Задачи!$F$1:$F$501,$H85)="","",INDEX(Задачи!$F$1:$F$501,$H85)))</f>
        <v/>
      </c>
      <c r="G85" s="40" t="str">
        <f aca="false">IF($H85="","",INDEX(Задачи!$I$1:$I$501,$H85)&amp;"")</f>
        <v/>
      </c>
      <c r="H85" s="20" t="str">
        <f aca="false">IFERROR(MOD(LARGE(Задачи!$P$2:$P$501,ROWS(H$5:H85)),1000),"")</f>
        <v/>
      </c>
    </row>
    <row r="86" customFormat="false" ht="30" hidden="false" customHeight="true" outlineLevel="0" collapsed="false">
      <c r="A86" s="39" t="str">
        <f aca="false">IF($H86="","",ROWS(A$5:A86))</f>
        <v/>
      </c>
      <c r="B86" s="40" t="str">
        <f aca="false">IF($H86="","",INDEX(Задачи!$A$1:$A$501,$H86)&amp;"")</f>
        <v/>
      </c>
      <c r="C86" s="40" t="str">
        <f aca="false">IF($H86="","",INDEX(Задачи!$B$1:$B$501,$H86)&amp;"")</f>
        <v/>
      </c>
      <c r="D86" s="39" t="str">
        <f aca="false">IF($H86="","",INDEX(Задачи!$C$1:$C$501,$H86)&amp;"")</f>
        <v/>
      </c>
      <c r="E86" s="41" t="str">
        <f aca="false">IF($H86="","",IF(INDEX(Задачи!$E$1:$E$501,$H86)="","",INDEX(Задачи!$E$1:$E$501,$H86)))</f>
        <v/>
      </c>
      <c r="F86" s="41" t="str">
        <f aca="false">IF($H86="","",IF(INDEX(Задачи!$F$1:$F$501,$H86)="","",INDEX(Задачи!$F$1:$F$501,$H86)))</f>
        <v/>
      </c>
      <c r="G86" s="40" t="str">
        <f aca="false">IF($H86="","",INDEX(Задачи!$I$1:$I$501,$H86)&amp;"")</f>
        <v/>
      </c>
      <c r="H86" s="20" t="str">
        <f aca="false">IFERROR(MOD(LARGE(Задачи!$P$2:$P$501,ROWS(H$5:H86)),1000),"")</f>
        <v/>
      </c>
    </row>
    <row r="87" customFormat="false" ht="30" hidden="false" customHeight="true" outlineLevel="0" collapsed="false">
      <c r="A87" s="39" t="str">
        <f aca="false">IF($H87="","",ROWS(A$5:A87))</f>
        <v/>
      </c>
      <c r="B87" s="40" t="str">
        <f aca="false">IF($H87="","",INDEX(Задачи!$A$1:$A$501,$H87)&amp;"")</f>
        <v/>
      </c>
      <c r="C87" s="40" t="str">
        <f aca="false">IF($H87="","",INDEX(Задачи!$B$1:$B$501,$H87)&amp;"")</f>
        <v/>
      </c>
      <c r="D87" s="39" t="str">
        <f aca="false">IF($H87="","",INDEX(Задачи!$C$1:$C$501,$H87)&amp;"")</f>
        <v/>
      </c>
      <c r="E87" s="41" t="str">
        <f aca="false">IF($H87="","",IF(INDEX(Задачи!$E$1:$E$501,$H87)="","",INDEX(Задачи!$E$1:$E$501,$H87)))</f>
        <v/>
      </c>
      <c r="F87" s="41" t="str">
        <f aca="false">IF($H87="","",IF(INDEX(Задачи!$F$1:$F$501,$H87)="","",INDEX(Задачи!$F$1:$F$501,$H87)))</f>
        <v/>
      </c>
      <c r="G87" s="40" t="str">
        <f aca="false">IF($H87="","",INDEX(Задачи!$I$1:$I$501,$H87)&amp;"")</f>
        <v/>
      </c>
      <c r="H87" s="20" t="str">
        <f aca="false">IFERROR(MOD(LARGE(Задачи!$P$2:$P$501,ROWS(H$5:H87)),1000),"")</f>
        <v/>
      </c>
    </row>
    <row r="88" customFormat="false" ht="30" hidden="false" customHeight="true" outlineLevel="0" collapsed="false">
      <c r="A88" s="39" t="str">
        <f aca="false">IF($H88="","",ROWS(A$5:A88))</f>
        <v/>
      </c>
      <c r="B88" s="40" t="str">
        <f aca="false">IF($H88="","",INDEX(Задачи!$A$1:$A$501,$H88)&amp;"")</f>
        <v/>
      </c>
      <c r="C88" s="40" t="str">
        <f aca="false">IF($H88="","",INDEX(Задачи!$B$1:$B$501,$H88)&amp;"")</f>
        <v/>
      </c>
      <c r="D88" s="39" t="str">
        <f aca="false">IF($H88="","",INDEX(Задачи!$C$1:$C$501,$H88)&amp;"")</f>
        <v/>
      </c>
      <c r="E88" s="41" t="str">
        <f aca="false">IF($H88="","",IF(INDEX(Задачи!$E$1:$E$501,$H88)="","",INDEX(Задачи!$E$1:$E$501,$H88)))</f>
        <v/>
      </c>
      <c r="F88" s="41" t="str">
        <f aca="false">IF($H88="","",IF(INDEX(Задачи!$F$1:$F$501,$H88)="","",INDEX(Задачи!$F$1:$F$501,$H88)))</f>
        <v/>
      </c>
      <c r="G88" s="40" t="str">
        <f aca="false">IF($H88="","",INDEX(Задачи!$I$1:$I$501,$H88)&amp;"")</f>
        <v/>
      </c>
      <c r="H88" s="20" t="str">
        <f aca="false">IFERROR(MOD(LARGE(Задачи!$P$2:$P$501,ROWS(H$5:H88)),1000),"")</f>
        <v/>
      </c>
    </row>
    <row r="89" customFormat="false" ht="30" hidden="false" customHeight="true" outlineLevel="0" collapsed="false">
      <c r="A89" s="39" t="str">
        <f aca="false">IF($H89="","",ROWS(A$5:A89))</f>
        <v/>
      </c>
      <c r="B89" s="40" t="str">
        <f aca="false">IF($H89="","",INDEX(Задачи!$A$1:$A$501,$H89)&amp;"")</f>
        <v/>
      </c>
      <c r="C89" s="40" t="str">
        <f aca="false">IF($H89="","",INDEX(Задачи!$B$1:$B$501,$H89)&amp;"")</f>
        <v/>
      </c>
      <c r="D89" s="39" t="str">
        <f aca="false">IF($H89="","",INDEX(Задачи!$C$1:$C$501,$H89)&amp;"")</f>
        <v/>
      </c>
      <c r="E89" s="41" t="str">
        <f aca="false">IF($H89="","",IF(INDEX(Задачи!$E$1:$E$501,$H89)="","",INDEX(Задачи!$E$1:$E$501,$H89)))</f>
        <v/>
      </c>
      <c r="F89" s="41" t="str">
        <f aca="false">IF($H89="","",IF(INDEX(Задачи!$F$1:$F$501,$H89)="","",INDEX(Задачи!$F$1:$F$501,$H89)))</f>
        <v/>
      </c>
      <c r="G89" s="40" t="str">
        <f aca="false">IF($H89="","",INDEX(Задачи!$I$1:$I$501,$H89)&amp;"")</f>
        <v/>
      </c>
      <c r="H89" s="20" t="str">
        <f aca="false">IFERROR(MOD(LARGE(Задачи!$P$2:$P$501,ROWS(H$5:H89)),1000),"")</f>
        <v/>
      </c>
    </row>
    <row r="90" customFormat="false" ht="30" hidden="false" customHeight="true" outlineLevel="0" collapsed="false">
      <c r="A90" s="39" t="str">
        <f aca="false">IF($H90="","",ROWS(A$5:A90))</f>
        <v/>
      </c>
      <c r="B90" s="40" t="str">
        <f aca="false">IF($H90="","",INDEX(Задачи!$A$1:$A$501,$H90)&amp;"")</f>
        <v/>
      </c>
      <c r="C90" s="40" t="str">
        <f aca="false">IF($H90="","",INDEX(Задачи!$B$1:$B$501,$H90)&amp;"")</f>
        <v/>
      </c>
      <c r="D90" s="39" t="str">
        <f aca="false">IF($H90="","",INDEX(Задачи!$C$1:$C$501,$H90)&amp;"")</f>
        <v/>
      </c>
      <c r="E90" s="41" t="str">
        <f aca="false">IF($H90="","",IF(INDEX(Задачи!$E$1:$E$501,$H90)="","",INDEX(Задачи!$E$1:$E$501,$H90)))</f>
        <v/>
      </c>
      <c r="F90" s="41" t="str">
        <f aca="false">IF($H90="","",IF(INDEX(Задачи!$F$1:$F$501,$H90)="","",INDEX(Задачи!$F$1:$F$501,$H90)))</f>
        <v/>
      </c>
      <c r="G90" s="40" t="str">
        <f aca="false">IF($H90="","",INDEX(Задачи!$I$1:$I$501,$H90)&amp;"")</f>
        <v/>
      </c>
      <c r="H90" s="20" t="str">
        <f aca="false">IFERROR(MOD(LARGE(Задачи!$P$2:$P$501,ROWS(H$5:H90)),1000),"")</f>
        <v/>
      </c>
    </row>
    <row r="91" customFormat="false" ht="30" hidden="false" customHeight="true" outlineLevel="0" collapsed="false">
      <c r="A91" s="39" t="str">
        <f aca="false">IF($H91="","",ROWS(A$5:A91))</f>
        <v/>
      </c>
      <c r="B91" s="40" t="str">
        <f aca="false">IF($H91="","",INDEX(Задачи!$A$1:$A$501,$H91)&amp;"")</f>
        <v/>
      </c>
      <c r="C91" s="40" t="str">
        <f aca="false">IF($H91="","",INDEX(Задачи!$B$1:$B$501,$H91)&amp;"")</f>
        <v/>
      </c>
      <c r="D91" s="39" t="str">
        <f aca="false">IF($H91="","",INDEX(Задачи!$C$1:$C$501,$H91)&amp;"")</f>
        <v/>
      </c>
      <c r="E91" s="41" t="str">
        <f aca="false">IF($H91="","",IF(INDEX(Задачи!$E$1:$E$501,$H91)="","",INDEX(Задачи!$E$1:$E$501,$H91)))</f>
        <v/>
      </c>
      <c r="F91" s="41" t="str">
        <f aca="false">IF($H91="","",IF(INDEX(Задачи!$F$1:$F$501,$H91)="","",INDEX(Задачи!$F$1:$F$501,$H91)))</f>
        <v/>
      </c>
      <c r="G91" s="40" t="str">
        <f aca="false">IF($H91="","",INDEX(Задачи!$I$1:$I$501,$H91)&amp;"")</f>
        <v/>
      </c>
      <c r="H91" s="20" t="str">
        <f aca="false">IFERROR(MOD(LARGE(Задачи!$P$2:$P$501,ROWS(H$5:H91)),1000),"")</f>
        <v/>
      </c>
    </row>
    <row r="92" customFormat="false" ht="30" hidden="false" customHeight="true" outlineLevel="0" collapsed="false">
      <c r="A92" s="39" t="str">
        <f aca="false">IF($H92="","",ROWS(A$5:A92))</f>
        <v/>
      </c>
      <c r="B92" s="40" t="str">
        <f aca="false">IF($H92="","",INDEX(Задачи!$A$1:$A$501,$H92)&amp;"")</f>
        <v/>
      </c>
      <c r="C92" s="40" t="str">
        <f aca="false">IF($H92="","",INDEX(Задачи!$B$1:$B$501,$H92)&amp;"")</f>
        <v/>
      </c>
      <c r="D92" s="39" t="str">
        <f aca="false">IF($H92="","",INDEX(Задачи!$C$1:$C$501,$H92)&amp;"")</f>
        <v/>
      </c>
      <c r="E92" s="41" t="str">
        <f aca="false">IF($H92="","",IF(INDEX(Задачи!$E$1:$E$501,$H92)="","",INDEX(Задачи!$E$1:$E$501,$H92)))</f>
        <v/>
      </c>
      <c r="F92" s="41" t="str">
        <f aca="false">IF($H92="","",IF(INDEX(Задачи!$F$1:$F$501,$H92)="","",INDEX(Задачи!$F$1:$F$501,$H92)))</f>
        <v/>
      </c>
      <c r="G92" s="40" t="str">
        <f aca="false">IF($H92="","",INDEX(Задачи!$I$1:$I$501,$H92)&amp;"")</f>
        <v/>
      </c>
      <c r="H92" s="20" t="str">
        <f aca="false">IFERROR(MOD(LARGE(Задачи!$P$2:$P$501,ROWS(H$5:H92)),1000),"")</f>
        <v/>
      </c>
    </row>
    <row r="93" customFormat="false" ht="30" hidden="false" customHeight="true" outlineLevel="0" collapsed="false">
      <c r="A93" s="39" t="str">
        <f aca="false">IF($H93="","",ROWS(A$5:A93))</f>
        <v/>
      </c>
      <c r="B93" s="40" t="str">
        <f aca="false">IF($H93="","",INDEX(Задачи!$A$1:$A$501,$H93)&amp;"")</f>
        <v/>
      </c>
      <c r="C93" s="40" t="str">
        <f aca="false">IF($H93="","",INDEX(Задачи!$B$1:$B$501,$H93)&amp;"")</f>
        <v/>
      </c>
      <c r="D93" s="39" t="str">
        <f aca="false">IF($H93="","",INDEX(Задачи!$C$1:$C$501,$H93)&amp;"")</f>
        <v/>
      </c>
      <c r="E93" s="41" t="str">
        <f aca="false">IF($H93="","",IF(INDEX(Задачи!$E$1:$E$501,$H93)="","",INDEX(Задачи!$E$1:$E$501,$H93)))</f>
        <v/>
      </c>
      <c r="F93" s="41" t="str">
        <f aca="false">IF($H93="","",IF(INDEX(Задачи!$F$1:$F$501,$H93)="","",INDEX(Задачи!$F$1:$F$501,$H93)))</f>
        <v/>
      </c>
      <c r="G93" s="40" t="str">
        <f aca="false">IF($H93="","",INDEX(Задачи!$I$1:$I$501,$H93)&amp;"")</f>
        <v/>
      </c>
      <c r="H93" s="20" t="str">
        <f aca="false">IFERROR(MOD(LARGE(Задачи!$P$2:$P$501,ROWS(H$5:H93)),1000),"")</f>
        <v/>
      </c>
    </row>
    <row r="94" customFormat="false" ht="30" hidden="false" customHeight="true" outlineLevel="0" collapsed="false">
      <c r="A94" s="39" t="str">
        <f aca="false">IF($H94="","",ROWS(A$5:A94))</f>
        <v/>
      </c>
      <c r="B94" s="40" t="str">
        <f aca="false">IF($H94="","",INDEX(Задачи!$A$1:$A$501,$H94)&amp;"")</f>
        <v/>
      </c>
      <c r="C94" s="40" t="str">
        <f aca="false">IF($H94="","",INDEX(Задачи!$B$1:$B$501,$H94)&amp;"")</f>
        <v/>
      </c>
      <c r="D94" s="39" t="str">
        <f aca="false">IF($H94="","",INDEX(Задачи!$C$1:$C$501,$H94)&amp;"")</f>
        <v/>
      </c>
      <c r="E94" s="41" t="str">
        <f aca="false">IF($H94="","",IF(INDEX(Задачи!$E$1:$E$501,$H94)="","",INDEX(Задачи!$E$1:$E$501,$H94)))</f>
        <v/>
      </c>
      <c r="F94" s="41" t="str">
        <f aca="false">IF($H94="","",IF(INDEX(Задачи!$F$1:$F$501,$H94)="","",INDEX(Задачи!$F$1:$F$501,$H94)))</f>
        <v/>
      </c>
      <c r="G94" s="40" t="str">
        <f aca="false">IF($H94="","",INDEX(Задачи!$I$1:$I$501,$H94)&amp;"")</f>
        <v/>
      </c>
      <c r="H94" s="20" t="str">
        <f aca="false">IFERROR(MOD(LARGE(Задачи!$P$2:$P$501,ROWS(H$5:H94)),1000),"")</f>
        <v/>
      </c>
    </row>
    <row r="95" customFormat="false" ht="30" hidden="false" customHeight="true" outlineLevel="0" collapsed="false">
      <c r="A95" s="39" t="str">
        <f aca="false">IF($H95="","",ROWS(A$5:A95))</f>
        <v/>
      </c>
      <c r="B95" s="40" t="str">
        <f aca="false">IF($H95="","",INDEX(Задачи!$A$1:$A$501,$H95)&amp;"")</f>
        <v/>
      </c>
      <c r="C95" s="40" t="str">
        <f aca="false">IF($H95="","",INDEX(Задачи!$B$1:$B$501,$H95)&amp;"")</f>
        <v/>
      </c>
      <c r="D95" s="39" t="str">
        <f aca="false">IF($H95="","",INDEX(Задачи!$C$1:$C$501,$H95)&amp;"")</f>
        <v/>
      </c>
      <c r="E95" s="41" t="str">
        <f aca="false">IF($H95="","",IF(INDEX(Задачи!$E$1:$E$501,$H95)="","",INDEX(Задачи!$E$1:$E$501,$H95)))</f>
        <v/>
      </c>
      <c r="F95" s="41" t="str">
        <f aca="false">IF($H95="","",IF(INDEX(Задачи!$F$1:$F$501,$H95)="","",INDEX(Задачи!$F$1:$F$501,$H95)))</f>
        <v/>
      </c>
      <c r="G95" s="40" t="str">
        <f aca="false">IF($H95="","",INDEX(Задачи!$I$1:$I$501,$H95)&amp;"")</f>
        <v/>
      </c>
      <c r="H95" s="20" t="str">
        <f aca="false">IFERROR(MOD(LARGE(Задачи!$P$2:$P$501,ROWS(H$5:H95)),1000),"")</f>
        <v/>
      </c>
    </row>
    <row r="96" customFormat="false" ht="30" hidden="false" customHeight="true" outlineLevel="0" collapsed="false">
      <c r="A96" s="39" t="str">
        <f aca="false">IF($H96="","",ROWS(A$5:A96))</f>
        <v/>
      </c>
      <c r="B96" s="40" t="str">
        <f aca="false">IF($H96="","",INDEX(Задачи!$A$1:$A$501,$H96)&amp;"")</f>
        <v/>
      </c>
      <c r="C96" s="40" t="str">
        <f aca="false">IF($H96="","",INDEX(Задачи!$B$1:$B$501,$H96)&amp;"")</f>
        <v/>
      </c>
      <c r="D96" s="39" t="str">
        <f aca="false">IF($H96="","",INDEX(Задачи!$C$1:$C$501,$H96)&amp;"")</f>
        <v/>
      </c>
      <c r="E96" s="41" t="str">
        <f aca="false">IF($H96="","",IF(INDEX(Задачи!$E$1:$E$501,$H96)="","",INDEX(Задачи!$E$1:$E$501,$H96)))</f>
        <v/>
      </c>
      <c r="F96" s="41" t="str">
        <f aca="false">IF($H96="","",IF(INDEX(Задачи!$F$1:$F$501,$H96)="","",INDEX(Задачи!$F$1:$F$501,$H96)))</f>
        <v/>
      </c>
      <c r="G96" s="40" t="str">
        <f aca="false">IF($H96="","",INDEX(Задачи!$I$1:$I$501,$H96)&amp;"")</f>
        <v/>
      </c>
      <c r="H96" s="20" t="str">
        <f aca="false">IFERROR(MOD(LARGE(Задачи!$P$2:$P$501,ROWS(H$5:H96)),1000),"")</f>
        <v/>
      </c>
    </row>
    <row r="97" customFormat="false" ht="30" hidden="false" customHeight="true" outlineLevel="0" collapsed="false">
      <c r="A97" s="39" t="str">
        <f aca="false">IF($H97="","",ROWS(A$5:A97))</f>
        <v/>
      </c>
      <c r="B97" s="40" t="str">
        <f aca="false">IF($H97="","",INDEX(Задачи!$A$1:$A$501,$H97)&amp;"")</f>
        <v/>
      </c>
      <c r="C97" s="40" t="str">
        <f aca="false">IF($H97="","",INDEX(Задачи!$B$1:$B$501,$H97)&amp;"")</f>
        <v/>
      </c>
      <c r="D97" s="39" t="str">
        <f aca="false">IF($H97="","",INDEX(Задачи!$C$1:$C$501,$H97)&amp;"")</f>
        <v/>
      </c>
      <c r="E97" s="41" t="str">
        <f aca="false">IF($H97="","",IF(INDEX(Задачи!$E$1:$E$501,$H97)="","",INDEX(Задачи!$E$1:$E$501,$H97)))</f>
        <v/>
      </c>
      <c r="F97" s="41" t="str">
        <f aca="false">IF($H97="","",IF(INDEX(Задачи!$F$1:$F$501,$H97)="","",INDEX(Задачи!$F$1:$F$501,$H97)))</f>
        <v/>
      </c>
      <c r="G97" s="40" t="str">
        <f aca="false">IF($H97="","",INDEX(Задачи!$I$1:$I$501,$H97)&amp;"")</f>
        <v/>
      </c>
      <c r="H97" s="20" t="str">
        <f aca="false">IFERROR(MOD(LARGE(Задачи!$P$2:$P$501,ROWS(H$5:H97)),1000),"")</f>
        <v/>
      </c>
    </row>
    <row r="98" customFormat="false" ht="30" hidden="false" customHeight="true" outlineLevel="0" collapsed="false">
      <c r="A98" s="39" t="str">
        <f aca="false">IF($H98="","",ROWS(A$5:A98))</f>
        <v/>
      </c>
      <c r="B98" s="40" t="str">
        <f aca="false">IF($H98="","",INDEX(Задачи!$A$1:$A$501,$H98)&amp;"")</f>
        <v/>
      </c>
      <c r="C98" s="40" t="str">
        <f aca="false">IF($H98="","",INDEX(Задачи!$B$1:$B$501,$H98)&amp;"")</f>
        <v/>
      </c>
      <c r="D98" s="39" t="str">
        <f aca="false">IF($H98="","",INDEX(Задачи!$C$1:$C$501,$H98)&amp;"")</f>
        <v/>
      </c>
      <c r="E98" s="41" t="str">
        <f aca="false">IF($H98="","",IF(INDEX(Задачи!$E$1:$E$501,$H98)="","",INDEX(Задачи!$E$1:$E$501,$H98)))</f>
        <v/>
      </c>
      <c r="F98" s="41" t="str">
        <f aca="false">IF($H98="","",IF(INDEX(Задачи!$F$1:$F$501,$H98)="","",INDEX(Задачи!$F$1:$F$501,$H98)))</f>
        <v/>
      </c>
      <c r="G98" s="40" t="str">
        <f aca="false">IF($H98="","",INDEX(Задачи!$I$1:$I$501,$H98)&amp;"")</f>
        <v/>
      </c>
      <c r="H98" s="20" t="str">
        <f aca="false">IFERROR(MOD(LARGE(Задачи!$P$2:$P$501,ROWS(H$5:H98)),1000),"")</f>
        <v/>
      </c>
    </row>
    <row r="99" customFormat="false" ht="30" hidden="false" customHeight="true" outlineLevel="0" collapsed="false">
      <c r="A99" s="39" t="str">
        <f aca="false">IF($H99="","",ROWS(A$5:A99))</f>
        <v/>
      </c>
      <c r="B99" s="40" t="str">
        <f aca="false">IF($H99="","",INDEX(Задачи!$A$1:$A$501,$H99)&amp;"")</f>
        <v/>
      </c>
      <c r="C99" s="40" t="str">
        <f aca="false">IF($H99="","",INDEX(Задачи!$B$1:$B$501,$H99)&amp;"")</f>
        <v/>
      </c>
      <c r="D99" s="39" t="str">
        <f aca="false">IF($H99="","",INDEX(Задачи!$C$1:$C$501,$H99)&amp;"")</f>
        <v/>
      </c>
      <c r="E99" s="41" t="str">
        <f aca="false">IF($H99="","",IF(INDEX(Задачи!$E$1:$E$501,$H99)="","",INDEX(Задачи!$E$1:$E$501,$H99)))</f>
        <v/>
      </c>
      <c r="F99" s="41" t="str">
        <f aca="false">IF($H99="","",IF(INDEX(Задачи!$F$1:$F$501,$H99)="","",INDEX(Задачи!$F$1:$F$501,$H99)))</f>
        <v/>
      </c>
      <c r="G99" s="40" t="str">
        <f aca="false">IF($H99="","",INDEX(Задачи!$I$1:$I$501,$H99)&amp;"")</f>
        <v/>
      </c>
      <c r="H99" s="20" t="str">
        <f aca="false">IFERROR(MOD(LARGE(Задачи!$P$2:$P$501,ROWS(H$5:H99)),1000),"")</f>
        <v/>
      </c>
    </row>
    <row r="100" customFormat="false" ht="30" hidden="false" customHeight="true" outlineLevel="0" collapsed="false">
      <c r="A100" s="39" t="str">
        <f aca="false">IF($H100="","",ROWS(A$5:A100))</f>
        <v/>
      </c>
      <c r="B100" s="40" t="str">
        <f aca="false">IF($H100="","",INDEX(Задачи!$A$1:$A$501,$H100)&amp;"")</f>
        <v/>
      </c>
      <c r="C100" s="40" t="str">
        <f aca="false">IF($H100="","",INDEX(Задачи!$B$1:$B$501,$H100)&amp;"")</f>
        <v/>
      </c>
      <c r="D100" s="39" t="str">
        <f aca="false">IF($H100="","",INDEX(Задачи!$C$1:$C$501,$H100)&amp;"")</f>
        <v/>
      </c>
      <c r="E100" s="41" t="str">
        <f aca="false">IF($H100="","",IF(INDEX(Задачи!$E$1:$E$501,$H100)="","",INDEX(Задачи!$E$1:$E$501,$H100)))</f>
        <v/>
      </c>
      <c r="F100" s="41" t="str">
        <f aca="false">IF($H100="","",IF(INDEX(Задачи!$F$1:$F$501,$H100)="","",INDEX(Задачи!$F$1:$F$501,$H100)))</f>
        <v/>
      </c>
      <c r="G100" s="40" t="str">
        <f aca="false">IF($H100="","",INDEX(Задачи!$I$1:$I$501,$H100)&amp;"")</f>
        <v/>
      </c>
      <c r="H100" s="20" t="str">
        <f aca="false">IFERROR(MOD(LARGE(Задачи!$P$2:$P$501,ROWS(H$5:H100)),1000),"")</f>
        <v/>
      </c>
    </row>
    <row r="101" customFormat="false" ht="30" hidden="false" customHeight="true" outlineLevel="0" collapsed="false">
      <c r="A101" s="39" t="str">
        <f aca="false">IF($H101="","",ROWS(A$5:A101))</f>
        <v/>
      </c>
      <c r="B101" s="40" t="str">
        <f aca="false">IF($H101="","",INDEX(Задачи!$A$1:$A$501,$H101)&amp;"")</f>
        <v/>
      </c>
      <c r="C101" s="40" t="str">
        <f aca="false">IF($H101="","",INDEX(Задачи!$B$1:$B$501,$H101)&amp;"")</f>
        <v/>
      </c>
      <c r="D101" s="39" t="str">
        <f aca="false">IF($H101="","",INDEX(Задачи!$C$1:$C$501,$H101)&amp;"")</f>
        <v/>
      </c>
      <c r="E101" s="41" t="str">
        <f aca="false">IF($H101="","",IF(INDEX(Задачи!$E$1:$E$501,$H101)="","",INDEX(Задачи!$E$1:$E$501,$H101)))</f>
        <v/>
      </c>
      <c r="F101" s="41" t="str">
        <f aca="false">IF($H101="","",IF(INDEX(Задачи!$F$1:$F$501,$H101)="","",INDEX(Задачи!$F$1:$F$501,$H101)))</f>
        <v/>
      </c>
      <c r="G101" s="40" t="str">
        <f aca="false">IF($H101="","",INDEX(Задачи!$I$1:$I$501,$H101)&amp;"")</f>
        <v/>
      </c>
      <c r="H101" s="20" t="str">
        <f aca="false">IFERROR(MOD(LARGE(Задачи!$P$2:$P$501,ROWS(H$5:H101)),1000),"")</f>
        <v/>
      </c>
    </row>
    <row r="102" customFormat="false" ht="30" hidden="false" customHeight="true" outlineLevel="0" collapsed="false">
      <c r="A102" s="39" t="str">
        <f aca="false">IF($H102="","",ROWS(A$5:A102))</f>
        <v/>
      </c>
      <c r="B102" s="40" t="str">
        <f aca="false">IF($H102="","",INDEX(Задачи!$A$1:$A$501,$H102)&amp;"")</f>
        <v/>
      </c>
      <c r="C102" s="40" t="str">
        <f aca="false">IF($H102="","",INDEX(Задачи!$B$1:$B$501,$H102)&amp;"")</f>
        <v/>
      </c>
      <c r="D102" s="39" t="str">
        <f aca="false">IF($H102="","",INDEX(Задачи!$C$1:$C$501,$H102)&amp;"")</f>
        <v/>
      </c>
      <c r="E102" s="41" t="str">
        <f aca="false">IF($H102="","",IF(INDEX(Задачи!$E$1:$E$501,$H102)="","",INDEX(Задачи!$E$1:$E$501,$H102)))</f>
        <v/>
      </c>
      <c r="F102" s="41" t="str">
        <f aca="false">IF($H102="","",IF(INDEX(Задачи!$F$1:$F$501,$H102)="","",INDEX(Задачи!$F$1:$F$501,$H102)))</f>
        <v/>
      </c>
      <c r="G102" s="40" t="str">
        <f aca="false">IF($H102="","",INDEX(Задачи!$I$1:$I$501,$H102)&amp;"")</f>
        <v/>
      </c>
      <c r="H102" s="20" t="str">
        <f aca="false">IFERROR(MOD(LARGE(Задачи!$P$2:$P$501,ROWS(H$5:H102)),1000),"")</f>
        <v/>
      </c>
    </row>
    <row r="103" customFormat="false" ht="30" hidden="false" customHeight="true" outlineLevel="0" collapsed="false">
      <c r="A103" s="39" t="str">
        <f aca="false">IF($H103="","",ROWS(A$5:A103))</f>
        <v/>
      </c>
      <c r="B103" s="40" t="str">
        <f aca="false">IF($H103="","",INDEX(Задачи!$A$1:$A$501,$H103)&amp;"")</f>
        <v/>
      </c>
      <c r="C103" s="40" t="str">
        <f aca="false">IF($H103="","",INDEX(Задачи!$B$1:$B$501,$H103)&amp;"")</f>
        <v/>
      </c>
      <c r="D103" s="39" t="str">
        <f aca="false">IF($H103="","",INDEX(Задачи!$C$1:$C$501,$H103)&amp;"")</f>
        <v/>
      </c>
      <c r="E103" s="41" t="str">
        <f aca="false">IF($H103="","",IF(INDEX(Задачи!$E$1:$E$501,$H103)="","",INDEX(Задачи!$E$1:$E$501,$H103)))</f>
        <v/>
      </c>
      <c r="F103" s="41" t="str">
        <f aca="false">IF($H103="","",IF(INDEX(Задачи!$F$1:$F$501,$H103)="","",INDEX(Задачи!$F$1:$F$501,$H103)))</f>
        <v/>
      </c>
      <c r="G103" s="40" t="str">
        <f aca="false">IF($H103="","",INDEX(Задачи!$I$1:$I$501,$H103)&amp;"")</f>
        <v/>
      </c>
      <c r="H103" s="20" t="str">
        <f aca="false">IFERROR(MOD(LARGE(Задачи!$P$2:$P$501,ROWS(H$5:H103)),1000),"")</f>
        <v/>
      </c>
    </row>
    <row r="104" customFormat="false" ht="30" hidden="false" customHeight="true" outlineLevel="0" collapsed="false">
      <c r="A104" s="39" t="str">
        <f aca="false">IF($H104="","",ROWS(A$5:A104))</f>
        <v/>
      </c>
      <c r="B104" s="40" t="str">
        <f aca="false">IF($H104="","",INDEX(Задачи!$A$1:$A$501,$H104)&amp;"")</f>
        <v/>
      </c>
      <c r="C104" s="40" t="str">
        <f aca="false">IF($H104="","",INDEX(Задачи!$B$1:$B$501,$H104)&amp;"")</f>
        <v/>
      </c>
      <c r="D104" s="39" t="str">
        <f aca="false">IF($H104="","",INDEX(Задачи!$C$1:$C$501,$H104)&amp;"")</f>
        <v/>
      </c>
      <c r="E104" s="41" t="str">
        <f aca="false">IF($H104="","",IF(INDEX(Задачи!$E$1:$E$501,$H104)="","",INDEX(Задачи!$E$1:$E$501,$H104)))</f>
        <v/>
      </c>
      <c r="F104" s="41" t="str">
        <f aca="false">IF($H104="","",IF(INDEX(Задачи!$F$1:$F$501,$H104)="","",INDEX(Задачи!$F$1:$F$501,$H104)))</f>
        <v/>
      </c>
      <c r="G104" s="40" t="str">
        <f aca="false">IF($H104="","",INDEX(Задачи!$I$1:$I$501,$H104)&amp;"")</f>
        <v/>
      </c>
      <c r="H104" s="20" t="str">
        <f aca="false">IFERROR(MOD(LARGE(Задачи!$P$2:$P$501,ROWS(H$5:H104)),1000),"")</f>
        <v/>
      </c>
    </row>
    <row r="105" customFormat="false" ht="30" hidden="false" customHeight="true" outlineLevel="0" collapsed="false">
      <c r="A105" s="39" t="str">
        <f aca="false">IF($H105="","",ROWS(A$5:A105))</f>
        <v/>
      </c>
      <c r="B105" s="40" t="str">
        <f aca="false">IF($H105="","",INDEX(Задачи!$A$1:$A$501,$H105)&amp;"")</f>
        <v/>
      </c>
      <c r="C105" s="40" t="str">
        <f aca="false">IF($H105="","",INDEX(Задачи!$B$1:$B$501,$H105)&amp;"")</f>
        <v/>
      </c>
      <c r="D105" s="39" t="str">
        <f aca="false">IF($H105="","",INDEX(Задачи!$C$1:$C$501,$H105)&amp;"")</f>
        <v/>
      </c>
      <c r="E105" s="41" t="str">
        <f aca="false">IF($H105="","",IF(INDEX(Задачи!$E$1:$E$501,$H105)="","",INDEX(Задачи!$E$1:$E$501,$H105)))</f>
        <v/>
      </c>
      <c r="F105" s="41" t="str">
        <f aca="false">IF($H105="","",IF(INDEX(Задачи!$F$1:$F$501,$H105)="","",INDEX(Задачи!$F$1:$F$501,$H105)))</f>
        <v/>
      </c>
      <c r="G105" s="40" t="str">
        <f aca="false">IF($H105="","",INDEX(Задачи!$I$1:$I$501,$H105)&amp;"")</f>
        <v/>
      </c>
      <c r="H105" s="20" t="str">
        <f aca="false">IFERROR(MOD(LARGE(Задачи!$P$2:$P$501,ROWS(H$5:H105)),1000),"")</f>
        <v/>
      </c>
    </row>
    <row r="106" customFormat="false" ht="30" hidden="false" customHeight="true" outlineLevel="0" collapsed="false">
      <c r="A106" s="39" t="str">
        <f aca="false">IF($H106="","",ROWS(A$5:A106))</f>
        <v/>
      </c>
      <c r="B106" s="40" t="str">
        <f aca="false">IF($H106="","",INDEX(Задачи!$A$1:$A$501,$H106)&amp;"")</f>
        <v/>
      </c>
      <c r="C106" s="40" t="str">
        <f aca="false">IF($H106="","",INDEX(Задачи!$B$1:$B$501,$H106)&amp;"")</f>
        <v/>
      </c>
      <c r="D106" s="39" t="str">
        <f aca="false">IF($H106="","",INDEX(Задачи!$C$1:$C$501,$H106)&amp;"")</f>
        <v/>
      </c>
      <c r="E106" s="41" t="str">
        <f aca="false">IF($H106="","",IF(INDEX(Задачи!$E$1:$E$501,$H106)="","",INDEX(Задачи!$E$1:$E$501,$H106)))</f>
        <v/>
      </c>
      <c r="F106" s="41" t="str">
        <f aca="false">IF($H106="","",IF(INDEX(Задачи!$F$1:$F$501,$H106)="","",INDEX(Задачи!$F$1:$F$501,$H106)))</f>
        <v/>
      </c>
      <c r="G106" s="40" t="str">
        <f aca="false">IF($H106="","",INDEX(Задачи!$I$1:$I$501,$H106)&amp;"")</f>
        <v/>
      </c>
      <c r="H106" s="20" t="str">
        <f aca="false">IFERROR(MOD(LARGE(Задачи!$P$2:$P$501,ROWS(H$5:H106)),1000),"")</f>
        <v/>
      </c>
    </row>
    <row r="107" customFormat="false" ht="30" hidden="false" customHeight="true" outlineLevel="0" collapsed="false">
      <c r="A107" s="39" t="str">
        <f aca="false">IF($H107="","",ROWS(A$5:A107))</f>
        <v/>
      </c>
      <c r="B107" s="40" t="str">
        <f aca="false">IF($H107="","",INDEX(Задачи!$A$1:$A$501,$H107)&amp;"")</f>
        <v/>
      </c>
      <c r="C107" s="40" t="str">
        <f aca="false">IF($H107="","",INDEX(Задачи!$B$1:$B$501,$H107)&amp;"")</f>
        <v/>
      </c>
      <c r="D107" s="39" t="str">
        <f aca="false">IF($H107="","",INDEX(Задачи!$C$1:$C$501,$H107)&amp;"")</f>
        <v/>
      </c>
      <c r="E107" s="41" t="str">
        <f aca="false">IF($H107="","",IF(INDEX(Задачи!$E$1:$E$501,$H107)="","",INDEX(Задачи!$E$1:$E$501,$H107)))</f>
        <v/>
      </c>
      <c r="F107" s="41" t="str">
        <f aca="false">IF($H107="","",IF(INDEX(Задачи!$F$1:$F$501,$H107)="","",INDEX(Задачи!$F$1:$F$501,$H107)))</f>
        <v/>
      </c>
      <c r="G107" s="40" t="str">
        <f aca="false">IF($H107="","",INDEX(Задачи!$I$1:$I$501,$H107)&amp;"")</f>
        <v/>
      </c>
      <c r="H107" s="20" t="str">
        <f aca="false">IFERROR(MOD(LARGE(Задачи!$P$2:$P$501,ROWS(H$5:H107)),1000),"")</f>
        <v/>
      </c>
    </row>
    <row r="108" customFormat="false" ht="30" hidden="false" customHeight="true" outlineLevel="0" collapsed="false">
      <c r="A108" s="39" t="str">
        <f aca="false">IF($H108="","",ROWS(A$5:A108))</f>
        <v/>
      </c>
      <c r="B108" s="40" t="str">
        <f aca="false">IF($H108="","",INDEX(Задачи!$A$1:$A$501,$H108)&amp;"")</f>
        <v/>
      </c>
      <c r="C108" s="40" t="str">
        <f aca="false">IF($H108="","",INDEX(Задачи!$B$1:$B$501,$H108)&amp;"")</f>
        <v/>
      </c>
      <c r="D108" s="39" t="str">
        <f aca="false">IF($H108="","",INDEX(Задачи!$C$1:$C$501,$H108)&amp;"")</f>
        <v/>
      </c>
      <c r="E108" s="41" t="str">
        <f aca="false">IF($H108="","",IF(INDEX(Задачи!$E$1:$E$501,$H108)="","",INDEX(Задачи!$E$1:$E$501,$H108)))</f>
        <v/>
      </c>
      <c r="F108" s="41" t="str">
        <f aca="false">IF($H108="","",IF(INDEX(Задачи!$F$1:$F$501,$H108)="","",INDEX(Задачи!$F$1:$F$501,$H108)))</f>
        <v/>
      </c>
      <c r="G108" s="40" t="str">
        <f aca="false">IF($H108="","",INDEX(Задачи!$I$1:$I$501,$H108)&amp;"")</f>
        <v/>
      </c>
      <c r="H108" s="20" t="str">
        <f aca="false">IFERROR(MOD(LARGE(Задачи!$P$2:$P$501,ROWS(H$5:H108)),1000),"")</f>
        <v/>
      </c>
    </row>
    <row r="109" customFormat="false" ht="30" hidden="false" customHeight="true" outlineLevel="0" collapsed="false">
      <c r="A109" s="39" t="str">
        <f aca="false">IF($H109="","",ROWS(A$5:A109))</f>
        <v/>
      </c>
      <c r="B109" s="40" t="str">
        <f aca="false">IF($H109="","",INDEX(Задачи!$A$1:$A$501,$H109)&amp;"")</f>
        <v/>
      </c>
      <c r="C109" s="40" t="str">
        <f aca="false">IF($H109="","",INDEX(Задачи!$B$1:$B$501,$H109)&amp;"")</f>
        <v/>
      </c>
      <c r="D109" s="39" t="str">
        <f aca="false">IF($H109="","",INDEX(Задачи!$C$1:$C$501,$H109)&amp;"")</f>
        <v/>
      </c>
      <c r="E109" s="41" t="str">
        <f aca="false">IF($H109="","",IF(INDEX(Задачи!$E$1:$E$501,$H109)="","",INDEX(Задачи!$E$1:$E$501,$H109)))</f>
        <v/>
      </c>
      <c r="F109" s="41" t="str">
        <f aca="false">IF($H109="","",IF(INDEX(Задачи!$F$1:$F$501,$H109)="","",INDEX(Задачи!$F$1:$F$501,$H109)))</f>
        <v/>
      </c>
      <c r="G109" s="40" t="str">
        <f aca="false">IF($H109="","",INDEX(Задачи!$I$1:$I$501,$H109)&amp;"")</f>
        <v/>
      </c>
      <c r="H109" s="20" t="str">
        <f aca="false">IFERROR(MOD(LARGE(Задачи!$P$2:$P$501,ROWS(H$5:H109)),1000),"")</f>
        <v/>
      </c>
    </row>
    <row r="110" customFormat="false" ht="30" hidden="false" customHeight="true" outlineLevel="0" collapsed="false">
      <c r="A110" s="39" t="str">
        <f aca="false">IF($H110="","",ROWS(A$5:A110))</f>
        <v/>
      </c>
      <c r="B110" s="40" t="str">
        <f aca="false">IF($H110="","",INDEX(Задачи!$A$1:$A$501,$H110)&amp;"")</f>
        <v/>
      </c>
      <c r="C110" s="40" t="str">
        <f aca="false">IF($H110="","",INDEX(Задачи!$B$1:$B$501,$H110)&amp;"")</f>
        <v/>
      </c>
      <c r="D110" s="39" t="str">
        <f aca="false">IF($H110="","",INDEX(Задачи!$C$1:$C$501,$H110)&amp;"")</f>
        <v/>
      </c>
      <c r="E110" s="41" t="str">
        <f aca="false">IF($H110="","",IF(INDEX(Задачи!$E$1:$E$501,$H110)="","",INDEX(Задачи!$E$1:$E$501,$H110)))</f>
        <v/>
      </c>
      <c r="F110" s="41" t="str">
        <f aca="false">IF($H110="","",IF(INDEX(Задачи!$F$1:$F$501,$H110)="","",INDEX(Задачи!$F$1:$F$501,$H110)))</f>
        <v/>
      </c>
      <c r="G110" s="40" t="str">
        <f aca="false">IF($H110="","",INDEX(Задачи!$I$1:$I$501,$H110)&amp;"")</f>
        <v/>
      </c>
      <c r="H110" s="20" t="str">
        <f aca="false">IFERROR(MOD(LARGE(Задачи!$P$2:$P$501,ROWS(H$5:H110)),1000),"")</f>
        <v/>
      </c>
    </row>
    <row r="111" customFormat="false" ht="30" hidden="false" customHeight="true" outlineLevel="0" collapsed="false">
      <c r="A111" s="39" t="str">
        <f aca="false">IF($H111="","",ROWS(A$5:A111))</f>
        <v/>
      </c>
      <c r="B111" s="40" t="str">
        <f aca="false">IF($H111="","",INDEX(Задачи!$A$1:$A$501,$H111)&amp;"")</f>
        <v/>
      </c>
      <c r="C111" s="40" t="str">
        <f aca="false">IF($H111="","",INDEX(Задачи!$B$1:$B$501,$H111)&amp;"")</f>
        <v/>
      </c>
      <c r="D111" s="39" t="str">
        <f aca="false">IF($H111="","",INDEX(Задачи!$C$1:$C$501,$H111)&amp;"")</f>
        <v/>
      </c>
      <c r="E111" s="41" t="str">
        <f aca="false">IF($H111="","",IF(INDEX(Задачи!$E$1:$E$501,$H111)="","",INDEX(Задачи!$E$1:$E$501,$H111)))</f>
        <v/>
      </c>
      <c r="F111" s="41" t="str">
        <f aca="false">IF($H111="","",IF(INDEX(Задачи!$F$1:$F$501,$H111)="","",INDEX(Задачи!$F$1:$F$501,$H111)))</f>
        <v/>
      </c>
      <c r="G111" s="40" t="str">
        <f aca="false">IF($H111="","",INDEX(Задачи!$I$1:$I$501,$H111)&amp;"")</f>
        <v/>
      </c>
      <c r="H111" s="20" t="str">
        <f aca="false">IFERROR(MOD(LARGE(Задачи!$P$2:$P$501,ROWS(H$5:H111)),1000),"")</f>
        <v/>
      </c>
    </row>
    <row r="112" customFormat="false" ht="30" hidden="false" customHeight="true" outlineLevel="0" collapsed="false">
      <c r="A112" s="39" t="str">
        <f aca="false">IF($H112="","",ROWS(A$5:A112))</f>
        <v/>
      </c>
      <c r="B112" s="40" t="str">
        <f aca="false">IF($H112="","",INDEX(Задачи!$A$1:$A$501,$H112)&amp;"")</f>
        <v/>
      </c>
      <c r="C112" s="40" t="str">
        <f aca="false">IF($H112="","",INDEX(Задачи!$B$1:$B$501,$H112)&amp;"")</f>
        <v/>
      </c>
      <c r="D112" s="39" t="str">
        <f aca="false">IF($H112="","",INDEX(Задачи!$C$1:$C$501,$H112)&amp;"")</f>
        <v/>
      </c>
      <c r="E112" s="41" t="str">
        <f aca="false">IF($H112="","",IF(INDEX(Задачи!$E$1:$E$501,$H112)="","",INDEX(Задачи!$E$1:$E$501,$H112)))</f>
        <v/>
      </c>
      <c r="F112" s="41" t="str">
        <f aca="false">IF($H112="","",IF(INDEX(Задачи!$F$1:$F$501,$H112)="","",INDEX(Задачи!$F$1:$F$501,$H112)))</f>
        <v/>
      </c>
      <c r="G112" s="40" t="str">
        <f aca="false">IF($H112="","",INDEX(Задачи!$I$1:$I$501,$H112)&amp;"")</f>
        <v/>
      </c>
      <c r="H112" s="20" t="str">
        <f aca="false">IFERROR(MOD(LARGE(Задачи!$P$2:$P$501,ROWS(H$5:H112)),1000),"")</f>
        <v/>
      </c>
    </row>
    <row r="113" customFormat="false" ht="30" hidden="false" customHeight="true" outlineLevel="0" collapsed="false">
      <c r="A113" s="39" t="str">
        <f aca="false">IF($H113="","",ROWS(A$5:A113))</f>
        <v/>
      </c>
      <c r="B113" s="40" t="str">
        <f aca="false">IF($H113="","",INDEX(Задачи!$A$1:$A$501,$H113)&amp;"")</f>
        <v/>
      </c>
      <c r="C113" s="40" t="str">
        <f aca="false">IF($H113="","",INDEX(Задачи!$B$1:$B$501,$H113)&amp;"")</f>
        <v/>
      </c>
      <c r="D113" s="39" t="str">
        <f aca="false">IF($H113="","",INDEX(Задачи!$C$1:$C$501,$H113)&amp;"")</f>
        <v/>
      </c>
      <c r="E113" s="41" t="str">
        <f aca="false">IF($H113="","",IF(INDEX(Задачи!$E$1:$E$501,$H113)="","",INDEX(Задачи!$E$1:$E$501,$H113)))</f>
        <v/>
      </c>
      <c r="F113" s="41" t="str">
        <f aca="false">IF($H113="","",IF(INDEX(Задачи!$F$1:$F$501,$H113)="","",INDEX(Задачи!$F$1:$F$501,$H113)))</f>
        <v/>
      </c>
      <c r="G113" s="40" t="str">
        <f aca="false">IF($H113="","",INDEX(Задачи!$I$1:$I$501,$H113)&amp;"")</f>
        <v/>
      </c>
      <c r="H113" s="20" t="str">
        <f aca="false">IFERROR(MOD(LARGE(Задачи!$P$2:$P$501,ROWS(H$5:H113)),1000),"")</f>
        <v/>
      </c>
    </row>
    <row r="114" customFormat="false" ht="30" hidden="false" customHeight="true" outlineLevel="0" collapsed="false">
      <c r="A114" s="39" t="str">
        <f aca="false">IF($H114="","",ROWS(A$5:A114))</f>
        <v/>
      </c>
      <c r="B114" s="40" t="str">
        <f aca="false">IF($H114="","",INDEX(Задачи!$A$1:$A$501,$H114)&amp;"")</f>
        <v/>
      </c>
      <c r="C114" s="40" t="str">
        <f aca="false">IF($H114="","",INDEX(Задачи!$B$1:$B$501,$H114)&amp;"")</f>
        <v/>
      </c>
      <c r="D114" s="39" t="str">
        <f aca="false">IF($H114="","",INDEX(Задачи!$C$1:$C$501,$H114)&amp;"")</f>
        <v/>
      </c>
      <c r="E114" s="41" t="str">
        <f aca="false">IF($H114="","",IF(INDEX(Задачи!$E$1:$E$501,$H114)="","",INDEX(Задачи!$E$1:$E$501,$H114)))</f>
        <v/>
      </c>
      <c r="F114" s="41" t="str">
        <f aca="false">IF($H114="","",IF(INDEX(Задачи!$F$1:$F$501,$H114)="","",INDEX(Задачи!$F$1:$F$501,$H114)))</f>
        <v/>
      </c>
      <c r="G114" s="40" t="str">
        <f aca="false">IF($H114="","",INDEX(Задачи!$I$1:$I$501,$H114)&amp;"")</f>
        <v/>
      </c>
      <c r="H114" s="20" t="str">
        <f aca="false">IFERROR(MOD(LARGE(Задачи!$P$2:$P$501,ROWS(H$5:H114)),1000),"")</f>
        <v/>
      </c>
    </row>
    <row r="115" customFormat="false" ht="30" hidden="false" customHeight="true" outlineLevel="0" collapsed="false">
      <c r="A115" s="39" t="str">
        <f aca="false">IF($H115="","",ROWS(A$5:A115))</f>
        <v/>
      </c>
      <c r="B115" s="40" t="str">
        <f aca="false">IF($H115="","",INDEX(Задачи!$A$1:$A$501,$H115)&amp;"")</f>
        <v/>
      </c>
      <c r="C115" s="40" t="str">
        <f aca="false">IF($H115="","",INDEX(Задачи!$B$1:$B$501,$H115)&amp;"")</f>
        <v/>
      </c>
      <c r="D115" s="39" t="str">
        <f aca="false">IF($H115="","",INDEX(Задачи!$C$1:$C$501,$H115)&amp;"")</f>
        <v/>
      </c>
      <c r="E115" s="41" t="str">
        <f aca="false">IF($H115="","",IF(INDEX(Задачи!$E$1:$E$501,$H115)="","",INDEX(Задачи!$E$1:$E$501,$H115)))</f>
        <v/>
      </c>
      <c r="F115" s="41" t="str">
        <f aca="false">IF($H115="","",IF(INDEX(Задачи!$F$1:$F$501,$H115)="","",INDEX(Задачи!$F$1:$F$501,$H115)))</f>
        <v/>
      </c>
      <c r="G115" s="40" t="str">
        <f aca="false">IF($H115="","",INDEX(Задачи!$I$1:$I$501,$H115)&amp;"")</f>
        <v/>
      </c>
      <c r="H115" s="20" t="str">
        <f aca="false">IFERROR(MOD(LARGE(Задачи!$P$2:$P$501,ROWS(H$5:H115)),1000),"")</f>
        <v/>
      </c>
    </row>
    <row r="116" customFormat="false" ht="30" hidden="false" customHeight="true" outlineLevel="0" collapsed="false">
      <c r="A116" s="39" t="str">
        <f aca="false">IF($H116="","",ROWS(A$5:A116))</f>
        <v/>
      </c>
      <c r="B116" s="40" t="str">
        <f aca="false">IF($H116="","",INDEX(Задачи!$A$1:$A$501,$H116)&amp;"")</f>
        <v/>
      </c>
      <c r="C116" s="40" t="str">
        <f aca="false">IF($H116="","",INDEX(Задачи!$B$1:$B$501,$H116)&amp;"")</f>
        <v/>
      </c>
      <c r="D116" s="39" t="str">
        <f aca="false">IF($H116="","",INDEX(Задачи!$C$1:$C$501,$H116)&amp;"")</f>
        <v/>
      </c>
      <c r="E116" s="41" t="str">
        <f aca="false">IF($H116="","",IF(INDEX(Задачи!$E$1:$E$501,$H116)="","",INDEX(Задачи!$E$1:$E$501,$H116)))</f>
        <v/>
      </c>
      <c r="F116" s="41" t="str">
        <f aca="false">IF($H116="","",IF(INDEX(Задачи!$F$1:$F$501,$H116)="","",INDEX(Задачи!$F$1:$F$501,$H116)))</f>
        <v/>
      </c>
      <c r="G116" s="40" t="str">
        <f aca="false">IF($H116="","",INDEX(Задачи!$I$1:$I$501,$H116)&amp;"")</f>
        <v/>
      </c>
      <c r="H116" s="20" t="str">
        <f aca="false">IFERROR(MOD(LARGE(Задачи!$P$2:$P$501,ROWS(H$5:H116)),1000),"")</f>
        <v/>
      </c>
    </row>
    <row r="117" customFormat="false" ht="30" hidden="false" customHeight="true" outlineLevel="0" collapsed="false">
      <c r="A117" s="39" t="str">
        <f aca="false">IF($H117="","",ROWS(A$5:A117))</f>
        <v/>
      </c>
      <c r="B117" s="40" t="str">
        <f aca="false">IF($H117="","",INDEX(Задачи!$A$1:$A$501,$H117)&amp;"")</f>
        <v/>
      </c>
      <c r="C117" s="40" t="str">
        <f aca="false">IF($H117="","",INDEX(Задачи!$B$1:$B$501,$H117)&amp;"")</f>
        <v/>
      </c>
      <c r="D117" s="39" t="str">
        <f aca="false">IF($H117="","",INDEX(Задачи!$C$1:$C$501,$H117)&amp;"")</f>
        <v/>
      </c>
      <c r="E117" s="41" t="str">
        <f aca="false">IF($H117="","",IF(INDEX(Задачи!$E$1:$E$501,$H117)="","",INDEX(Задачи!$E$1:$E$501,$H117)))</f>
        <v/>
      </c>
      <c r="F117" s="41" t="str">
        <f aca="false">IF($H117="","",IF(INDEX(Задачи!$F$1:$F$501,$H117)="","",INDEX(Задачи!$F$1:$F$501,$H117)))</f>
        <v/>
      </c>
      <c r="G117" s="40" t="str">
        <f aca="false">IF($H117="","",INDEX(Задачи!$I$1:$I$501,$H117)&amp;"")</f>
        <v/>
      </c>
      <c r="H117" s="20" t="str">
        <f aca="false">IFERROR(MOD(LARGE(Задачи!$P$2:$P$501,ROWS(H$5:H117)),1000),"")</f>
        <v/>
      </c>
    </row>
    <row r="118" customFormat="false" ht="30" hidden="false" customHeight="true" outlineLevel="0" collapsed="false">
      <c r="A118" s="39" t="str">
        <f aca="false">IF($H118="","",ROWS(A$5:A118))</f>
        <v/>
      </c>
      <c r="B118" s="40" t="str">
        <f aca="false">IF($H118="","",INDEX(Задачи!$A$1:$A$501,$H118)&amp;"")</f>
        <v/>
      </c>
      <c r="C118" s="40" t="str">
        <f aca="false">IF($H118="","",INDEX(Задачи!$B$1:$B$501,$H118)&amp;"")</f>
        <v/>
      </c>
      <c r="D118" s="39" t="str">
        <f aca="false">IF($H118="","",INDEX(Задачи!$C$1:$C$501,$H118)&amp;"")</f>
        <v/>
      </c>
      <c r="E118" s="41" t="str">
        <f aca="false">IF($H118="","",IF(INDEX(Задачи!$E$1:$E$501,$H118)="","",INDEX(Задачи!$E$1:$E$501,$H118)))</f>
        <v/>
      </c>
      <c r="F118" s="41" t="str">
        <f aca="false">IF($H118="","",IF(INDEX(Задачи!$F$1:$F$501,$H118)="","",INDEX(Задачи!$F$1:$F$501,$H118)))</f>
        <v/>
      </c>
      <c r="G118" s="40" t="str">
        <f aca="false">IF($H118="","",INDEX(Задачи!$I$1:$I$501,$H118)&amp;"")</f>
        <v/>
      </c>
      <c r="H118" s="20" t="str">
        <f aca="false">IFERROR(MOD(LARGE(Задачи!$P$2:$P$501,ROWS(H$5:H118)),1000),"")</f>
        <v/>
      </c>
    </row>
    <row r="119" customFormat="false" ht="30" hidden="false" customHeight="true" outlineLevel="0" collapsed="false">
      <c r="A119" s="39" t="str">
        <f aca="false">IF($H119="","",ROWS(A$5:A119))</f>
        <v/>
      </c>
      <c r="B119" s="40" t="str">
        <f aca="false">IF($H119="","",INDEX(Задачи!$A$1:$A$501,$H119)&amp;"")</f>
        <v/>
      </c>
      <c r="C119" s="40" t="str">
        <f aca="false">IF($H119="","",INDEX(Задачи!$B$1:$B$501,$H119)&amp;"")</f>
        <v/>
      </c>
      <c r="D119" s="39" t="str">
        <f aca="false">IF($H119="","",INDEX(Задачи!$C$1:$C$501,$H119)&amp;"")</f>
        <v/>
      </c>
      <c r="E119" s="41" t="str">
        <f aca="false">IF($H119="","",IF(INDEX(Задачи!$E$1:$E$501,$H119)="","",INDEX(Задачи!$E$1:$E$501,$H119)))</f>
        <v/>
      </c>
      <c r="F119" s="41" t="str">
        <f aca="false">IF($H119="","",IF(INDEX(Задачи!$F$1:$F$501,$H119)="","",INDEX(Задачи!$F$1:$F$501,$H119)))</f>
        <v/>
      </c>
      <c r="G119" s="40" t="str">
        <f aca="false">IF($H119="","",INDEX(Задачи!$I$1:$I$501,$H119)&amp;"")</f>
        <v/>
      </c>
      <c r="H119" s="20" t="str">
        <f aca="false">IFERROR(MOD(LARGE(Задачи!$P$2:$P$501,ROWS(H$5:H119)),1000),"")</f>
        <v/>
      </c>
    </row>
    <row r="120" customFormat="false" ht="30" hidden="false" customHeight="true" outlineLevel="0" collapsed="false">
      <c r="A120" s="39" t="str">
        <f aca="false">IF($H120="","",ROWS(A$5:A120))</f>
        <v/>
      </c>
      <c r="B120" s="40" t="str">
        <f aca="false">IF($H120="","",INDEX(Задачи!$A$1:$A$501,$H120)&amp;"")</f>
        <v/>
      </c>
      <c r="C120" s="40" t="str">
        <f aca="false">IF($H120="","",INDEX(Задачи!$B$1:$B$501,$H120)&amp;"")</f>
        <v/>
      </c>
      <c r="D120" s="39" t="str">
        <f aca="false">IF($H120="","",INDEX(Задачи!$C$1:$C$501,$H120)&amp;"")</f>
        <v/>
      </c>
      <c r="E120" s="41" t="str">
        <f aca="false">IF($H120="","",IF(INDEX(Задачи!$E$1:$E$501,$H120)="","",INDEX(Задачи!$E$1:$E$501,$H120)))</f>
        <v/>
      </c>
      <c r="F120" s="41" t="str">
        <f aca="false">IF($H120="","",IF(INDEX(Задачи!$F$1:$F$501,$H120)="","",INDEX(Задачи!$F$1:$F$501,$H120)))</f>
        <v/>
      </c>
      <c r="G120" s="40" t="str">
        <f aca="false">IF($H120="","",INDEX(Задачи!$I$1:$I$501,$H120)&amp;"")</f>
        <v/>
      </c>
      <c r="H120" s="20" t="str">
        <f aca="false">IFERROR(MOD(LARGE(Задачи!$P$2:$P$501,ROWS(H$5:H120)),1000),"")</f>
        <v/>
      </c>
    </row>
    <row r="121" customFormat="false" ht="30" hidden="false" customHeight="true" outlineLevel="0" collapsed="false">
      <c r="A121" s="39" t="str">
        <f aca="false">IF($H121="","",ROWS(A$5:A121))</f>
        <v/>
      </c>
      <c r="B121" s="40" t="str">
        <f aca="false">IF($H121="","",INDEX(Задачи!$A$1:$A$501,$H121)&amp;"")</f>
        <v/>
      </c>
      <c r="C121" s="40" t="str">
        <f aca="false">IF($H121="","",INDEX(Задачи!$B$1:$B$501,$H121)&amp;"")</f>
        <v/>
      </c>
      <c r="D121" s="39" t="str">
        <f aca="false">IF($H121="","",INDEX(Задачи!$C$1:$C$501,$H121)&amp;"")</f>
        <v/>
      </c>
      <c r="E121" s="41" t="str">
        <f aca="false">IF($H121="","",IF(INDEX(Задачи!$E$1:$E$501,$H121)="","",INDEX(Задачи!$E$1:$E$501,$H121)))</f>
        <v/>
      </c>
      <c r="F121" s="41" t="str">
        <f aca="false">IF($H121="","",IF(INDEX(Задачи!$F$1:$F$501,$H121)="","",INDEX(Задачи!$F$1:$F$501,$H121)))</f>
        <v/>
      </c>
      <c r="G121" s="40" t="str">
        <f aca="false">IF($H121="","",INDEX(Задачи!$I$1:$I$501,$H121)&amp;"")</f>
        <v/>
      </c>
      <c r="H121" s="20" t="str">
        <f aca="false">IFERROR(MOD(LARGE(Задачи!$P$2:$P$501,ROWS(H$5:H121)),1000),"")</f>
        <v/>
      </c>
    </row>
    <row r="122" customFormat="false" ht="30" hidden="false" customHeight="true" outlineLevel="0" collapsed="false">
      <c r="A122" s="39" t="str">
        <f aca="false">IF($H122="","",ROWS(A$5:A122))</f>
        <v/>
      </c>
      <c r="B122" s="40" t="str">
        <f aca="false">IF($H122="","",INDEX(Задачи!$A$1:$A$501,$H122)&amp;"")</f>
        <v/>
      </c>
      <c r="C122" s="40" t="str">
        <f aca="false">IF($H122="","",INDEX(Задачи!$B$1:$B$501,$H122)&amp;"")</f>
        <v/>
      </c>
      <c r="D122" s="39" t="str">
        <f aca="false">IF($H122="","",INDEX(Задачи!$C$1:$C$501,$H122)&amp;"")</f>
        <v/>
      </c>
      <c r="E122" s="41" t="str">
        <f aca="false">IF($H122="","",IF(INDEX(Задачи!$E$1:$E$501,$H122)="","",INDEX(Задачи!$E$1:$E$501,$H122)))</f>
        <v/>
      </c>
      <c r="F122" s="41" t="str">
        <f aca="false">IF($H122="","",IF(INDEX(Задачи!$F$1:$F$501,$H122)="","",INDEX(Задачи!$F$1:$F$501,$H122)))</f>
        <v/>
      </c>
      <c r="G122" s="40" t="str">
        <f aca="false">IF($H122="","",INDEX(Задачи!$I$1:$I$501,$H122)&amp;"")</f>
        <v/>
      </c>
      <c r="H122" s="20" t="str">
        <f aca="false">IFERROR(MOD(LARGE(Задачи!$P$2:$P$501,ROWS(H$5:H122)),1000),"")</f>
        <v/>
      </c>
    </row>
    <row r="123" customFormat="false" ht="30" hidden="false" customHeight="true" outlineLevel="0" collapsed="false">
      <c r="A123" s="39" t="str">
        <f aca="false">IF($H123="","",ROWS(A$5:A123))</f>
        <v/>
      </c>
      <c r="B123" s="40" t="str">
        <f aca="false">IF($H123="","",INDEX(Задачи!$A$1:$A$501,$H123)&amp;"")</f>
        <v/>
      </c>
      <c r="C123" s="40" t="str">
        <f aca="false">IF($H123="","",INDEX(Задачи!$B$1:$B$501,$H123)&amp;"")</f>
        <v/>
      </c>
      <c r="D123" s="39" t="str">
        <f aca="false">IF($H123="","",INDEX(Задачи!$C$1:$C$501,$H123)&amp;"")</f>
        <v/>
      </c>
      <c r="E123" s="41" t="str">
        <f aca="false">IF($H123="","",IF(INDEX(Задачи!$E$1:$E$501,$H123)="","",INDEX(Задачи!$E$1:$E$501,$H123)))</f>
        <v/>
      </c>
      <c r="F123" s="41" t="str">
        <f aca="false">IF($H123="","",IF(INDEX(Задачи!$F$1:$F$501,$H123)="","",INDEX(Задачи!$F$1:$F$501,$H123)))</f>
        <v/>
      </c>
      <c r="G123" s="40" t="str">
        <f aca="false">IF($H123="","",INDEX(Задачи!$I$1:$I$501,$H123)&amp;"")</f>
        <v/>
      </c>
      <c r="H123" s="20" t="str">
        <f aca="false">IFERROR(MOD(LARGE(Задачи!$P$2:$P$501,ROWS(H$5:H123)),1000),"")</f>
        <v/>
      </c>
    </row>
    <row r="124" customFormat="false" ht="30" hidden="false" customHeight="true" outlineLevel="0" collapsed="false">
      <c r="A124" s="39" t="str">
        <f aca="false">IF($H124="","",ROWS(A$5:A124))</f>
        <v/>
      </c>
      <c r="B124" s="40" t="str">
        <f aca="false">IF($H124="","",INDEX(Задачи!$A$1:$A$501,$H124)&amp;"")</f>
        <v/>
      </c>
      <c r="C124" s="40" t="str">
        <f aca="false">IF($H124="","",INDEX(Задачи!$B$1:$B$501,$H124)&amp;"")</f>
        <v/>
      </c>
      <c r="D124" s="39" t="str">
        <f aca="false">IF($H124="","",INDEX(Задачи!$C$1:$C$501,$H124)&amp;"")</f>
        <v/>
      </c>
      <c r="E124" s="41" t="str">
        <f aca="false">IF($H124="","",IF(INDEX(Задачи!$E$1:$E$501,$H124)="","",INDEX(Задачи!$E$1:$E$501,$H124)))</f>
        <v/>
      </c>
      <c r="F124" s="41" t="str">
        <f aca="false">IF($H124="","",IF(INDEX(Задачи!$F$1:$F$501,$H124)="","",INDEX(Задачи!$F$1:$F$501,$H124)))</f>
        <v/>
      </c>
      <c r="G124" s="40" t="str">
        <f aca="false">IF($H124="","",INDEX(Задачи!$I$1:$I$501,$H124)&amp;"")</f>
        <v/>
      </c>
      <c r="H124" s="20" t="str">
        <f aca="false">IFERROR(MOD(LARGE(Задачи!$P$2:$P$501,ROWS(H$5:H124)),1000),"")</f>
        <v/>
      </c>
    </row>
    <row r="125" customFormat="false" ht="30" hidden="false" customHeight="true" outlineLevel="0" collapsed="false">
      <c r="A125" s="39" t="str">
        <f aca="false">IF($H125="","",ROWS(A$5:A125))</f>
        <v/>
      </c>
      <c r="B125" s="40" t="str">
        <f aca="false">IF($H125="","",INDEX(Задачи!$A$1:$A$501,$H125)&amp;"")</f>
        <v/>
      </c>
      <c r="C125" s="40" t="str">
        <f aca="false">IF($H125="","",INDEX(Задачи!$B$1:$B$501,$H125)&amp;"")</f>
        <v/>
      </c>
      <c r="D125" s="39" t="str">
        <f aca="false">IF($H125="","",INDEX(Задачи!$C$1:$C$501,$H125)&amp;"")</f>
        <v/>
      </c>
      <c r="E125" s="41" t="str">
        <f aca="false">IF($H125="","",IF(INDEX(Задачи!$E$1:$E$501,$H125)="","",INDEX(Задачи!$E$1:$E$501,$H125)))</f>
        <v/>
      </c>
      <c r="F125" s="41" t="str">
        <f aca="false">IF($H125="","",IF(INDEX(Задачи!$F$1:$F$501,$H125)="","",INDEX(Задачи!$F$1:$F$501,$H125)))</f>
        <v/>
      </c>
      <c r="G125" s="40" t="str">
        <f aca="false">IF($H125="","",INDEX(Задачи!$I$1:$I$501,$H125)&amp;"")</f>
        <v/>
      </c>
      <c r="H125" s="20" t="str">
        <f aca="false">IFERROR(MOD(LARGE(Задачи!$P$2:$P$501,ROWS(H$5:H125)),1000),"")</f>
        <v/>
      </c>
    </row>
    <row r="126" customFormat="false" ht="30" hidden="false" customHeight="true" outlineLevel="0" collapsed="false">
      <c r="A126" s="39" t="str">
        <f aca="false">IF($H126="","",ROWS(A$5:A126))</f>
        <v/>
      </c>
      <c r="B126" s="40" t="str">
        <f aca="false">IF($H126="","",INDEX(Задачи!$A$1:$A$501,$H126)&amp;"")</f>
        <v/>
      </c>
      <c r="C126" s="40" t="str">
        <f aca="false">IF($H126="","",INDEX(Задачи!$B$1:$B$501,$H126)&amp;"")</f>
        <v/>
      </c>
      <c r="D126" s="39" t="str">
        <f aca="false">IF($H126="","",INDEX(Задачи!$C$1:$C$501,$H126)&amp;"")</f>
        <v/>
      </c>
      <c r="E126" s="41" t="str">
        <f aca="false">IF($H126="","",IF(INDEX(Задачи!$E$1:$E$501,$H126)="","",INDEX(Задачи!$E$1:$E$501,$H126)))</f>
        <v/>
      </c>
      <c r="F126" s="41" t="str">
        <f aca="false">IF($H126="","",IF(INDEX(Задачи!$F$1:$F$501,$H126)="","",INDEX(Задачи!$F$1:$F$501,$H126)))</f>
        <v/>
      </c>
      <c r="G126" s="40" t="str">
        <f aca="false">IF($H126="","",INDEX(Задачи!$I$1:$I$501,$H126)&amp;"")</f>
        <v/>
      </c>
      <c r="H126" s="20" t="str">
        <f aca="false">IFERROR(MOD(LARGE(Задачи!$P$2:$P$501,ROWS(H$5:H126)),1000),"")</f>
        <v/>
      </c>
    </row>
    <row r="127" customFormat="false" ht="30" hidden="false" customHeight="true" outlineLevel="0" collapsed="false">
      <c r="A127" s="39" t="str">
        <f aca="false">IF($H127="","",ROWS(A$5:A127))</f>
        <v/>
      </c>
      <c r="B127" s="40" t="str">
        <f aca="false">IF($H127="","",INDEX(Задачи!$A$1:$A$501,$H127)&amp;"")</f>
        <v/>
      </c>
      <c r="C127" s="40" t="str">
        <f aca="false">IF($H127="","",INDEX(Задачи!$B$1:$B$501,$H127)&amp;"")</f>
        <v/>
      </c>
      <c r="D127" s="39" t="str">
        <f aca="false">IF($H127="","",INDEX(Задачи!$C$1:$C$501,$H127)&amp;"")</f>
        <v/>
      </c>
      <c r="E127" s="41" t="str">
        <f aca="false">IF($H127="","",IF(INDEX(Задачи!$E$1:$E$501,$H127)="","",INDEX(Задачи!$E$1:$E$501,$H127)))</f>
        <v/>
      </c>
      <c r="F127" s="41" t="str">
        <f aca="false">IF($H127="","",IF(INDEX(Задачи!$F$1:$F$501,$H127)="","",INDEX(Задачи!$F$1:$F$501,$H127)))</f>
        <v/>
      </c>
      <c r="G127" s="40" t="str">
        <f aca="false">IF($H127="","",INDEX(Задачи!$I$1:$I$501,$H127)&amp;"")</f>
        <v/>
      </c>
      <c r="H127" s="20" t="str">
        <f aca="false">IFERROR(MOD(LARGE(Задачи!$P$2:$P$501,ROWS(H$5:H127)),1000),"")</f>
        <v/>
      </c>
    </row>
    <row r="128" customFormat="false" ht="30" hidden="false" customHeight="true" outlineLevel="0" collapsed="false">
      <c r="A128" s="39" t="str">
        <f aca="false">IF($H128="","",ROWS(A$5:A128))</f>
        <v/>
      </c>
      <c r="B128" s="40" t="str">
        <f aca="false">IF($H128="","",INDEX(Задачи!$A$1:$A$501,$H128)&amp;"")</f>
        <v/>
      </c>
      <c r="C128" s="40" t="str">
        <f aca="false">IF($H128="","",INDEX(Задачи!$B$1:$B$501,$H128)&amp;"")</f>
        <v/>
      </c>
      <c r="D128" s="39" t="str">
        <f aca="false">IF($H128="","",INDEX(Задачи!$C$1:$C$501,$H128)&amp;"")</f>
        <v/>
      </c>
      <c r="E128" s="41" t="str">
        <f aca="false">IF($H128="","",IF(INDEX(Задачи!$E$1:$E$501,$H128)="","",INDEX(Задачи!$E$1:$E$501,$H128)))</f>
        <v/>
      </c>
      <c r="F128" s="41" t="str">
        <f aca="false">IF($H128="","",IF(INDEX(Задачи!$F$1:$F$501,$H128)="","",INDEX(Задачи!$F$1:$F$501,$H128)))</f>
        <v/>
      </c>
      <c r="G128" s="40" t="str">
        <f aca="false">IF($H128="","",INDEX(Задачи!$I$1:$I$501,$H128)&amp;"")</f>
        <v/>
      </c>
      <c r="H128" s="20" t="str">
        <f aca="false">IFERROR(MOD(LARGE(Задачи!$P$2:$P$501,ROWS(H$5:H128)),1000),"")</f>
        <v/>
      </c>
    </row>
    <row r="129" customFormat="false" ht="30" hidden="false" customHeight="true" outlineLevel="0" collapsed="false">
      <c r="A129" s="39" t="str">
        <f aca="false">IF($H129="","",ROWS(A$5:A129))</f>
        <v/>
      </c>
      <c r="B129" s="40" t="str">
        <f aca="false">IF($H129="","",INDEX(Задачи!$A$1:$A$501,$H129)&amp;"")</f>
        <v/>
      </c>
      <c r="C129" s="40" t="str">
        <f aca="false">IF($H129="","",INDEX(Задачи!$B$1:$B$501,$H129)&amp;"")</f>
        <v/>
      </c>
      <c r="D129" s="39" t="str">
        <f aca="false">IF($H129="","",INDEX(Задачи!$C$1:$C$501,$H129)&amp;"")</f>
        <v/>
      </c>
      <c r="E129" s="41" t="str">
        <f aca="false">IF($H129="","",IF(INDEX(Задачи!$E$1:$E$501,$H129)="","",INDEX(Задачи!$E$1:$E$501,$H129)))</f>
        <v/>
      </c>
      <c r="F129" s="41" t="str">
        <f aca="false">IF($H129="","",IF(INDEX(Задачи!$F$1:$F$501,$H129)="","",INDEX(Задачи!$F$1:$F$501,$H129)))</f>
        <v/>
      </c>
      <c r="G129" s="40" t="str">
        <f aca="false">IF($H129="","",INDEX(Задачи!$I$1:$I$501,$H129)&amp;"")</f>
        <v/>
      </c>
      <c r="H129" s="20" t="str">
        <f aca="false">IFERROR(MOD(LARGE(Задачи!$P$2:$P$501,ROWS(H$5:H129)),1000),"")</f>
        <v/>
      </c>
    </row>
    <row r="130" customFormat="false" ht="30" hidden="false" customHeight="true" outlineLevel="0" collapsed="false">
      <c r="A130" s="39" t="str">
        <f aca="false">IF($H130="","",ROWS(A$5:A130))</f>
        <v/>
      </c>
      <c r="B130" s="40" t="str">
        <f aca="false">IF($H130="","",INDEX(Задачи!$A$1:$A$501,$H130)&amp;"")</f>
        <v/>
      </c>
      <c r="C130" s="40" t="str">
        <f aca="false">IF($H130="","",INDEX(Задачи!$B$1:$B$501,$H130)&amp;"")</f>
        <v/>
      </c>
      <c r="D130" s="39" t="str">
        <f aca="false">IF($H130="","",INDEX(Задачи!$C$1:$C$501,$H130)&amp;"")</f>
        <v/>
      </c>
      <c r="E130" s="41" t="str">
        <f aca="false">IF($H130="","",IF(INDEX(Задачи!$E$1:$E$501,$H130)="","",INDEX(Задачи!$E$1:$E$501,$H130)))</f>
        <v/>
      </c>
      <c r="F130" s="41" t="str">
        <f aca="false">IF($H130="","",IF(INDEX(Задачи!$F$1:$F$501,$H130)="","",INDEX(Задачи!$F$1:$F$501,$H130)))</f>
        <v/>
      </c>
      <c r="G130" s="40" t="str">
        <f aca="false">IF($H130="","",INDEX(Задачи!$I$1:$I$501,$H130)&amp;"")</f>
        <v/>
      </c>
      <c r="H130" s="20" t="str">
        <f aca="false">IFERROR(MOD(LARGE(Задачи!$P$2:$P$501,ROWS(H$5:H130)),1000),"")</f>
        <v/>
      </c>
    </row>
    <row r="131" customFormat="false" ht="30" hidden="false" customHeight="true" outlineLevel="0" collapsed="false">
      <c r="A131" s="39" t="str">
        <f aca="false">IF($H131="","",ROWS(A$5:A131))</f>
        <v/>
      </c>
      <c r="B131" s="40" t="str">
        <f aca="false">IF($H131="","",INDEX(Задачи!$A$1:$A$501,$H131)&amp;"")</f>
        <v/>
      </c>
      <c r="C131" s="40" t="str">
        <f aca="false">IF($H131="","",INDEX(Задачи!$B$1:$B$501,$H131)&amp;"")</f>
        <v/>
      </c>
      <c r="D131" s="39" t="str">
        <f aca="false">IF($H131="","",INDEX(Задачи!$C$1:$C$501,$H131)&amp;"")</f>
        <v/>
      </c>
      <c r="E131" s="41" t="str">
        <f aca="false">IF($H131="","",IF(INDEX(Задачи!$E$1:$E$501,$H131)="","",INDEX(Задачи!$E$1:$E$501,$H131)))</f>
        <v/>
      </c>
      <c r="F131" s="41" t="str">
        <f aca="false">IF($H131="","",IF(INDEX(Задачи!$F$1:$F$501,$H131)="","",INDEX(Задачи!$F$1:$F$501,$H131)))</f>
        <v/>
      </c>
      <c r="G131" s="40" t="str">
        <f aca="false">IF($H131="","",INDEX(Задачи!$I$1:$I$501,$H131)&amp;"")</f>
        <v/>
      </c>
      <c r="H131" s="20" t="str">
        <f aca="false">IFERROR(MOD(LARGE(Задачи!$P$2:$P$501,ROWS(H$5:H131)),1000),"")</f>
        <v/>
      </c>
    </row>
    <row r="132" customFormat="false" ht="30" hidden="false" customHeight="true" outlineLevel="0" collapsed="false">
      <c r="A132" s="39" t="str">
        <f aca="false">IF($H132="","",ROWS(A$5:A132))</f>
        <v/>
      </c>
      <c r="B132" s="40" t="str">
        <f aca="false">IF($H132="","",INDEX(Задачи!$A$1:$A$501,$H132)&amp;"")</f>
        <v/>
      </c>
      <c r="C132" s="40" t="str">
        <f aca="false">IF($H132="","",INDEX(Задачи!$B$1:$B$501,$H132)&amp;"")</f>
        <v/>
      </c>
      <c r="D132" s="39" t="str">
        <f aca="false">IF($H132="","",INDEX(Задачи!$C$1:$C$501,$H132)&amp;"")</f>
        <v/>
      </c>
      <c r="E132" s="41" t="str">
        <f aca="false">IF($H132="","",IF(INDEX(Задачи!$E$1:$E$501,$H132)="","",INDEX(Задачи!$E$1:$E$501,$H132)))</f>
        <v/>
      </c>
      <c r="F132" s="41" t="str">
        <f aca="false">IF($H132="","",IF(INDEX(Задачи!$F$1:$F$501,$H132)="","",INDEX(Задачи!$F$1:$F$501,$H132)))</f>
        <v/>
      </c>
      <c r="G132" s="40" t="str">
        <f aca="false">IF($H132="","",INDEX(Задачи!$I$1:$I$501,$H132)&amp;"")</f>
        <v/>
      </c>
      <c r="H132" s="20" t="str">
        <f aca="false">IFERROR(MOD(LARGE(Задачи!$P$2:$P$501,ROWS(H$5:H132)),1000),"")</f>
        <v/>
      </c>
    </row>
    <row r="133" customFormat="false" ht="30" hidden="false" customHeight="true" outlineLevel="0" collapsed="false">
      <c r="A133" s="39" t="str">
        <f aca="false">IF($H133="","",ROWS(A$5:A133))</f>
        <v/>
      </c>
      <c r="B133" s="40" t="str">
        <f aca="false">IF($H133="","",INDEX(Задачи!$A$1:$A$501,$H133)&amp;"")</f>
        <v/>
      </c>
      <c r="C133" s="40" t="str">
        <f aca="false">IF($H133="","",INDEX(Задачи!$B$1:$B$501,$H133)&amp;"")</f>
        <v/>
      </c>
      <c r="D133" s="39" t="str">
        <f aca="false">IF($H133="","",INDEX(Задачи!$C$1:$C$501,$H133)&amp;"")</f>
        <v/>
      </c>
      <c r="E133" s="41" t="str">
        <f aca="false">IF($H133="","",IF(INDEX(Задачи!$E$1:$E$501,$H133)="","",INDEX(Задачи!$E$1:$E$501,$H133)))</f>
        <v/>
      </c>
      <c r="F133" s="41" t="str">
        <f aca="false">IF($H133="","",IF(INDEX(Задачи!$F$1:$F$501,$H133)="","",INDEX(Задачи!$F$1:$F$501,$H133)))</f>
        <v/>
      </c>
      <c r="G133" s="40" t="str">
        <f aca="false">IF($H133="","",INDEX(Задачи!$I$1:$I$501,$H133)&amp;"")</f>
        <v/>
      </c>
      <c r="H133" s="20" t="str">
        <f aca="false">IFERROR(MOD(LARGE(Задачи!$P$2:$P$501,ROWS(H$5:H133)),1000),"")</f>
        <v/>
      </c>
    </row>
    <row r="134" customFormat="false" ht="30" hidden="false" customHeight="true" outlineLevel="0" collapsed="false">
      <c r="A134" s="39" t="str">
        <f aca="false">IF($H134="","",ROWS(A$5:A134))</f>
        <v/>
      </c>
      <c r="B134" s="40" t="str">
        <f aca="false">IF($H134="","",INDEX(Задачи!$A$1:$A$501,$H134)&amp;"")</f>
        <v/>
      </c>
      <c r="C134" s="40" t="str">
        <f aca="false">IF($H134="","",INDEX(Задачи!$B$1:$B$501,$H134)&amp;"")</f>
        <v/>
      </c>
      <c r="D134" s="39" t="str">
        <f aca="false">IF($H134="","",INDEX(Задачи!$C$1:$C$501,$H134)&amp;"")</f>
        <v/>
      </c>
      <c r="E134" s="41" t="str">
        <f aca="false">IF($H134="","",IF(INDEX(Задачи!$E$1:$E$501,$H134)="","",INDEX(Задачи!$E$1:$E$501,$H134)))</f>
        <v/>
      </c>
      <c r="F134" s="41" t="str">
        <f aca="false">IF($H134="","",IF(INDEX(Задачи!$F$1:$F$501,$H134)="","",INDEX(Задачи!$F$1:$F$501,$H134)))</f>
        <v/>
      </c>
      <c r="G134" s="40" t="str">
        <f aca="false">IF($H134="","",INDEX(Задачи!$I$1:$I$501,$H134)&amp;"")</f>
        <v/>
      </c>
      <c r="H134" s="20" t="str">
        <f aca="false">IFERROR(MOD(LARGE(Задачи!$P$2:$P$501,ROWS(H$5:H134)),1000),"")</f>
        <v/>
      </c>
    </row>
    <row r="135" customFormat="false" ht="30" hidden="false" customHeight="true" outlineLevel="0" collapsed="false">
      <c r="A135" s="39" t="str">
        <f aca="false">IF($H135="","",ROWS(A$5:A135))</f>
        <v/>
      </c>
      <c r="B135" s="40" t="str">
        <f aca="false">IF($H135="","",INDEX(Задачи!$A$1:$A$501,$H135)&amp;"")</f>
        <v/>
      </c>
      <c r="C135" s="40" t="str">
        <f aca="false">IF($H135="","",INDEX(Задачи!$B$1:$B$501,$H135)&amp;"")</f>
        <v/>
      </c>
      <c r="D135" s="39" t="str">
        <f aca="false">IF($H135="","",INDEX(Задачи!$C$1:$C$501,$H135)&amp;"")</f>
        <v/>
      </c>
      <c r="E135" s="41" t="str">
        <f aca="false">IF($H135="","",IF(INDEX(Задачи!$E$1:$E$501,$H135)="","",INDEX(Задачи!$E$1:$E$501,$H135)))</f>
        <v/>
      </c>
      <c r="F135" s="41" t="str">
        <f aca="false">IF($H135="","",IF(INDEX(Задачи!$F$1:$F$501,$H135)="","",INDEX(Задачи!$F$1:$F$501,$H135)))</f>
        <v/>
      </c>
      <c r="G135" s="40" t="str">
        <f aca="false">IF($H135="","",INDEX(Задачи!$I$1:$I$501,$H135)&amp;"")</f>
        <v/>
      </c>
      <c r="H135" s="20" t="str">
        <f aca="false">IFERROR(MOD(LARGE(Задачи!$P$2:$P$501,ROWS(H$5:H135)),1000),"")</f>
        <v/>
      </c>
    </row>
    <row r="136" customFormat="false" ht="30" hidden="false" customHeight="true" outlineLevel="0" collapsed="false">
      <c r="A136" s="39" t="str">
        <f aca="false">IF($H136="","",ROWS(A$5:A136))</f>
        <v/>
      </c>
      <c r="B136" s="40" t="str">
        <f aca="false">IF($H136="","",INDEX(Задачи!$A$1:$A$501,$H136)&amp;"")</f>
        <v/>
      </c>
      <c r="C136" s="40" t="str">
        <f aca="false">IF($H136="","",INDEX(Задачи!$B$1:$B$501,$H136)&amp;"")</f>
        <v/>
      </c>
      <c r="D136" s="39" t="str">
        <f aca="false">IF($H136="","",INDEX(Задачи!$C$1:$C$501,$H136)&amp;"")</f>
        <v/>
      </c>
      <c r="E136" s="41" t="str">
        <f aca="false">IF($H136="","",IF(INDEX(Задачи!$E$1:$E$501,$H136)="","",INDEX(Задачи!$E$1:$E$501,$H136)))</f>
        <v/>
      </c>
      <c r="F136" s="41" t="str">
        <f aca="false">IF($H136="","",IF(INDEX(Задачи!$F$1:$F$501,$H136)="","",INDEX(Задачи!$F$1:$F$501,$H136)))</f>
        <v/>
      </c>
      <c r="G136" s="40" t="str">
        <f aca="false">IF($H136="","",INDEX(Задачи!$I$1:$I$501,$H136)&amp;"")</f>
        <v/>
      </c>
      <c r="H136" s="20" t="str">
        <f aca="false">IFERROR(MOD(LARGE(Задачи!$P$2:$P$501,ROWS(H$5:H136)),1000),"")</f>
        <v/>
      </c>
    </row>
    <row r="137" customFormat="false" ht="30" hidden="false" customHeight="true" outlineLevel="0" collapsed="false">
      <c r="A137" s="39" t="str">
        <f aca="false">IF($H137="","",ROWS(A$5:A137))</f>
        <v/>
      </c>
      <c r="B137" s="40" t="str">
        <f aca="false">IF($H137="","",INDEX(Задачи!$A$1:$A$501,$H137)&amp;"")</f>
        <v/>
      </c>
      <c r="C137" s="40" t="str">
        <f aca="false">IF($H137="","",INDEX(Задачи!$B$1:$B$501,$H137)&amp;"")</f>
        <v/>
      </c>
      <c r="D137" s="39" t="str">
        <f aca="false">IF($H137="","",INDEX(Задачи!$C$1:$C$501,$H137)&amp;"")</f>
        <v/>
      </c>
      <c r="E137" s="41" t="str">
        <f aca="false">IF($H137="","",IF(INDEX(Задачи!$E$1:$E$501,$H137)="","",INDEX(Задачи!$E$1:$E$501,$H137)))</f>
        <v/>
      </c>
      <c r="F137" s="41" t="str">
        <f aca="false">IF($H137="","",IF(INDEX(Задачи!$F$1:$F$501,$H137)="","",INDEX(Задачи!$F$1:$F$501,$H137)))</f>
        <v/>
      </c>
      <c r="G137" s="40" t="str">
        <f aca="false">IF($H137="","",INDEX(Задачи!$I$1:$I$501,$H137)&amp;"")</f>
        <v/>
      </c>
      <c r="H137" s="20" t="str">
        <f aca="false">IFERROR(MOD(LARGE(Задачи!$P$2:$P$501,ROWS(H$5:H137)),1000),"")</f>
        <v/>
      </c>
    </row>
    <row r="138" customFormat="false" ht="30" hidden="false" customHeight="true" outlineLevel="0" collapsed="false">
      <c r="A138" s="39" t="str">
        <f aca="false">IF($H138="","",ROWS(A$5:A138))</f>
        <v/>
      </c>
      <c r="B138" s="40" t="str">
        <f aca="false">IF($H138="","",INDEX(Задачи!$A$1:$A$501,$H138)&amp;"")</f>
        <v/>
      </c>
      <c r="C138" s="40" t="str">
        <f aca="false">IF($H138="","",INDEX(Задачи!$B$1:$B$501,$H138)&amp;"")</f>
        <v/>
      </c>
      <c r="D138" s="39" t="str">
        <f aca="false">IF($H138="","",INDEX(Задачи!$C$1:$C$501,$H138)&amp;"")</f>
        <v/>
      </c>
      <c r="E138" s="41" t="str">
        <f aca="false">IF($H138="","",IF(INDEX(Задачи!$E$1:$E$501,$H138)="","",INDEX(Задачи!$E$1:$E$501,$H138)))</f>
        <v/>
      </c>
      <c r="F138" s="41" t="str">
        <f aca="false">IF($H138="","",IF(INDEX(Задачи!$F$1:$F$501,$H138)="","",INDEX(Задачи!$F$1:$F$501,$H138)))</f>
        <v/>
      </c>
      <c r="G138" s="40" t="str">
        <f aca="false">IF($H138="","",INDEX(Задачи!$I$1:$I$501,$H138)&amp;"")</f>
        <v/>
      </c>
      <c r="H138" s="20" t="str">
        <f aca="false">IFERROR(MOD(LARGE(Задачи!$P$2:$P$501,ROWS(H$5:H138)),1000),"")</f>
        <v/>
      </c>
    </row>
    <row r="139" customFormat="false" ht="30" hidden="false" customHeight="true" outlineLevel="0" collapsed="false">
      <c r="A139" s="39" t="str">
        <f aca="false">IF($H139="","",ROWS(A$5:A139))</f>
        <v/>
      </c>
      <c r="B139" s="40" t="str">
        <f aca="false">IF($H139="","",INDEX(Задачи!$A$1:$A$501,$H139)&amp;"")</f>
        <v/>
      </c>
      <c r="C139" s="40" t="str">
        <f aca="false">IF($H139="","",INDEX(Задачи!$B$1:$B$501,$H139)&amp;"")</f>
        <v/>
      </c>
      <c r="D139" s="39" t="str">
        <f aca="false">IF($H139="","",INDEX(Задачи!$C$1:$C$501,$H139)&amp;"")</f>
        <v/>
      </c>
      <c r="E139" s="41" t="str">
        <f aca="false">IF($H139="","",IF(INDEX(Задачи!$E$1:$E$501,$H139)="","",INDEX(Задачи!$E$1:$E$501,$H139)))</f>
        <v/>
      </c>
      <c r="F139" s="41" t="str">
        <f aca="false">IF($H139="","",IF(INDEX(Задачи!$F$1:$F$501,$H139)="","",INDEX(Задачи!$F$1:$F$501,$H139)))</f>
        <v/>
      </c>
      <c r="G139" s="40" t="str">
        <f aca="false">IF($H139="","",INDEX(Задачи!$I$1:$I$501,$H139)&amp;"")</f>
        <v/>
      </c>
      <c r="H139" s="20" t="str">
        <f aca="false">IFERROR(MOD(LARGE(Задачи!$P$2:$P$501,ROWS(H$5:H139)),1000),"")</f>
        <v/>
      </c>
    </row>
    <row r="140" customFormat="false" ht="30" hidden="false" customHeight="true" outlineLevel="0" collapsed="false">
      <c r="A140" s="39" t="str">
        <f aca="false">IF($H140="","",ROWS(A$5:A140))</f>
        <v/>
      </c>
      <c r="B140" s="40" t="str">
        <f aca="false">IF($H140="","",INDEX(Задачи!$A$1:$A$501,$H140)&amp;"")</f>
        <v/>
      </c>
      <c r="C140" s="40" t="str">
        <f aca="false">IF($H140="","",INDEX(Задачи!$B$1:$B$501,$H140)&amp;"")</f>
        <v/>
      </c>
      <c r="D140" s="39" t="str">
        <f aca="false">IF($H140="","",INDEX(Задачи!$C$1:$C$501,$H140)&amp;"")</f>
        <v/>
      </c>
      <c r="E140" s="41" t="str">
        <f aca="false">IF($H140="","",IF(INDEX(Задачи!$E$1:$E$501,$H140)="","",INDEX(Задачи!$E$1:$E$501,$H140)))</f>
        <v/>
      </c>
      <c r="F140" s="41" t="str">
        <f aca="false">IF($H140="","",IF(INDEX(Задачи!$F$1:$F$501,$H140)="","",INDEX(Задачи!$F$1:$F$501,$H140)))</f>
        <v/>
      </c>
      <c r="G140" s="40" t="str">
        <f aca="false">IF($H140="","",INDEX(Задачи!$I$1:$I$501,$H140)&amp;"")</f>
        <v/>
      </c>
      <c r="H140" s="20" t="str">
        <f aca="false">IFERROR(MOD(LARGE(Задачи!$P$2:$P$501,ROWS(H$5:H140)),1000),"")</f>
        <v/>
      </c>
    </row>
    <row r="141" customFormat="false" ht="30" hidden="false" customHeight="true" outlineLevel="0" collapsed="false">
      <c r="A141" s="39" t="str">
        <f aca="false">IF($H141="","",ROWS(A$5:A141))</f>
        <v/>
      </c>
      <c r="B141" s="40" t="str">
        <f aca="false">IF($H141="","",INDEX(Задачи!$A$1:$A$501,$H141)&amp;"")</f>
        <v/>
      </c>
      <c r="C141" s="40" t="str">
        <f aca="false">IF($H141="","",INDEX(Задачи!$B$1:$B$501,$H141)&amp;"")</f>
        <v/>
      </c>
      <c r="D141" s="39" t="str">
        <f aca="false">IF($H141="","",INDEX(Задачи!$C$1:$C$501,$H141)&amp;"")</f>
        <v/>
      </c>
      <c r="E141" s="41" t="str">
        <f aca="false">IF($H141="","",IF(INDEX(Задачи!$E$1:$E$501,$H141)="","",INDEX(Задачи!$E$1:$E$501,$H141)))</f>
        <v/>
      </c>
      <c r="F141" s="41" t="str">
        <f aca="false">IF($H141="","",IF(INDEX(Задачи!$F$1:$F$501,$H141)="","",INDEX(Задачи!$F$1:$F$501,$H141)))</f>
        <v/>
      </c>
      <c r="G141" s="40" t="str">
        <f aca="false">IF($H141="","",INDEX(Задачи!$I$1:$I$501,$H141)&amp;"")</f>
        <v/>
      </c>
      <c r="H141" s="20" t="str">
        <f aca="false">IFERROR(MOD(LARGE(Задачи!$P$2:$P$501,ROWS(H$5:H141)),1000),"")</f>
        <v/>
      </c>
    </row>
    <row r="142" customFormat="false" ht="30" hidden="false" customHeight="true" outlineLevel="0" collapsed="false">
      <c r="A142" s="39" t="str">
        <f aca="false">IF($H142="","",ROWS(A$5:A142))</f>
        <v/>
      </c>
      <c r="B142" s="40" t="str">
        <f aca="false">IF($H142="","",INDEX(Задачи!$A$1:$A$501,$H142)&amp;"")</f>
        <v/>
      </c>
      <c r="C142" s="40" t="str">
        <f aca="false">IF($H142="","",INDEX(Задачи!$B$1:$B$501,$H142)&amp;"")</f>
        <v/>
      </c>
      <c r="D142" s="39" t="str">
        <f aca="false">IF($H142="","",INDEX(Задачи!$C$1:$C$501,$H142)&amp;"")</f>
        <v/>
      </c>
      <c r="E142" s="41" t="str">
        <f aca="false">IF($H142="","",IF(INDEX(Задачи!$E$1:$E$501,$H142)="","",INDEX(Задачи!$E$1:$E$501,$H142)))</f>
        <v/>
      </c>
      <c r="F142" s="41" t="str">
        <f aca="false">IF($H142="","",IF(INDEX(Задачи!$F$1:$F$501,$H142)="","",INDEX(Задачи!$F$1:$F$501,$H142)))</f>
        <v/>
      </c>
      <c r="G142" s="40" t="str">
        <f aca="false">IF($H142="","",INDEX(Задачи!$I$1:$I$501,$H142)&amp;"")</f>
        <v/>
      </c>
      <c r="H142" s="20" t="str">
        <f aca="false">IFERROR(MOD(LARGE(Задачи!$P$2:$P$501,ROWS(H$5:H142)),1000),"")</f>
        <v/>
      </c>
    </row>
    <row r="143" customFormat="false" ht="30" hidden="false" customHeight="true" outlineLevel="0" collapsed="false">
      <c r="A143" s="39" t="str">
        <f aca="false">IF($H143="","",ROWS(A$5:A143))</f>
        <v/>
      </c>
      <c r="B143" s="40" t="str">
        <f aca="false">IF($H143="","",INDEX(Задачи!$A$1:$A$501,$H143)&amp;"")</f>
        <v/>
      </c>
      <c r="C143" s="40" t="str">
        <f aca="false">IF($H143="","",INDEX(Задачи!$B$1:$B$501,$H143)&amp;"")</f>
        <v/>
      </c>
      <c r="D143" s="39" t="str">
        <f aca="false">IF($H143="","",INDEX(Задачи!$C$1:$C$501,$H143)&amp;"")</f>
        <v/>
      </c>
      <c r="E143" s="41" t="str">
        <f aca="false">IF($H143="","",IF(INDEX(Задачи!$E$1:$E$501,$H143)="","",INDEX(Задачи!$E$1:$E$501,$H143)))</f>
        <v/>
      </c>
      <c r="F143" s="41" t="str">
        <f aca="false">IF($H143="","",IF(INDEX(Задачи!$F$1:$F$501,$H143)="","",INDEX(Задачи!$F$1:$F$501,$H143)))</f>
        <v/>
      </c>
      <c r="G143" s="40" t="str">
        <f aca="false">IF($H143="","",INDEX(Задачи!$I$1:$I$501,$H143)&amp;"")</f>
        <v/>
      </c>
      <c r="H143" s="20" t="str">
        <f aca="false">IFERROR(MOD(LARGE(Задачи!$P$2:$P$501,ROWS(H$5:H143)),1000),"")</f>
        <v/>
      </c>
    </row>
    <row r="144" customFormat="false" ht="30" hidden="false" customHeight="true" outlineLevel="0" collapsed="false">
      <c r="A144" s="39" t="str">
        <f aca="false">IF($H144="","",ROWS(A$5:A144))</f>
        <v/>
      </c>
      <c r="B144" s="40" t="str">
        <f aca="false">IF($H144="","",INDEX(Задачи!$A$1:$A$501,$H144)&amp;"")</f>
        <v/>
      </c>
      <c r="C144" s="40" t="str">
        <f aca="false">IF($H144="","",INDEX(Задачи!$B$1:$B$501,$H144)&amp;"")</f>
        <v/>
      </c>
      <c r="D144" s="39" t="str">
        <f aca="false">IF($H144="","",INDEX(Задачи!$C$1:$C$501,$H144)&amp;"")</f>
        <v/>
      </c>
      <c r="E144" s="41" t="str">
        <f aca="false">IF($H144="","",IF(INDEX(Задачи!$E$1:$E$501,$H144)="","",INDEX(Задачи!$E$1:$E$501,$H144)))</f>
        <v/>
      </c>
      <c r="F144" s="41" t="str">
        <f aca="false">IF($H144="","",IF(INDEX(Задачи!$F$1:$F$501,$H144)="","",INDEX(Задачи!$F$1:$F$501,$H144)))</f>
        <v/>
      </c>
      <c r="G144" s="40" t="str">
        <f aca="false">IF($H144="","",INDEX(Задачи!$I$1:$I$501,$H144)&amp;"")</f>
        <v/>
      </c>
      <c r="H144" s="20" t="str">
        <f aca="false">IFERROR(MOD(LARGE(Задачи!$P$2:$P$501,ROWS(H$5:H144)),1000),"")</f>
        <v/>
      </c>
    </row>
    <row r="145" customFormat="false" ht="30" hidden="false" customHeight="true" outlineLevel="0" collapsed="false">
      <c r="A145" s="39" t="str">
        <f aca="false">IF($H145="","",ROWS(A$5:A145))</f>
        <v/>
      </c>
      <c r="B145" s="40" t="str">
        <f aca="false">IF($H145="","",INDEX(Задачи!$A$1:$A$501,$H145)&amp;"")</f>
        <v/>
      </c>
      <c r="C145" s="40" t="str">
        <f aca="false">IF($H145="","",INDEX(Задачи!$B$1:$B$501,$H145)&amp;"")</f>
        <v/>
      </c>
      <c r="D145" s="39" t="str">
        <f aca="false">IF($H145="","",INDEX(Задачи!$C$1:$C$501,$H145)&amp;"")</f>
        <v/>
      </c>
      <c r="E145" s="41" t="str">
        <f aca="false">IF($H145="","",IF(INDEX(Задачи!$E$1:$E$501,$H145)="","",INDEX(Задачи!$E$1:$E$501,$H145)))</f>
        <v/>
      </c>
      <c r="F145" s="41" t="str">
        <f aca="false">IF($H145="","",IF(INDEX(Задачи!$F$1:$F$501,$H145)="","",INDEX(Задачи!$F$1:$F$501,$H145)))</f>
        <v/>
      </c>
      <c r="G145" s="40" t="str">
        <f aca="false">IF($H145="","",INDEX(Задачи!$I$1:$I$501,$H145)&amp;"")</f>
        <v/>
      </c>
      <c r="H145" s="20" t="str">
        <f aca="false">IFERROR(MOD(LARGE(Задачи!$P$2:$P$501,ROWS(H$5:H145)),1000),"")</f>
        <v/>
      </c>
    </row>
    <row r="146" customFormat="false" ht="30" hidden="false" customHeight="true" outlineLevel="0" collapsed="false">
      <c r="A146" s="39" t="str">
        <f aca="false">IF($H146="","",ROWS(A$5:A146))</f>
        <v/>
      </c>
      <c r="B146" s="40" t="str">
        <f aca="false">IF($H146="","",INDEX(Задачи!$A$1:$A$501,$H146)&amp;"")</f>
        <v/>
      </c>
      <c r="C146" s="40" t="str">
        <f aca="false">IF($H146="","",INDEX(Задачи!$B$1:$B$501,$H146)&amp;"")</f>
        <v/>
      </c>
      <c r="D146" s="39" t="str">
        <f aca="false">IF($H146="","",INDEX(Задачи!$C$1:$C$501,$H146)&amp;"")</f>
        <v/>
      </c>
      <c r="E146" s="41" t="str">
        <f aca="false">IF($H146="","",IF(INDEX(Задачи!$E$1:$E$501,$H146)="","",INDEX(Задачи!$E$1:$E$501,$H146)))</f>
        <v/>
      </c>
      <c r="F146" s="41" t="str">
        <f aca="false">IF($H146="","",IF(INDEX(Задачи!$F$1:$F$501,$H146)="","",INDEX(Задачи!$F$1:$F$501,$H146)))</f>
        <v/>
      </c>
      <c r="G146" s="40" t="str">
        <f aca="false">IF($H146="","",INDEX(Задачи!$I$1:$I$501,$H146)&amp;"")</f>
        <v/>
      </c>
      <c r="H146" s="20" t="str">
        <f aca="false">IFERROR(MOD(LARGE(Задачи!$P$2:$P$501,ROWS(H$5:H146)),1000),"")</f>
        <v/>
      </c>
    </row>
    <row r="147" customFormat="false" ht="30" hidden="false" customHeight="true" outlineLevel="0" collapsed="false">
      <c r="A147" s="39" t="str">
        <f aca="false">IF($H147="","",ROWS(A$5:A147))</f>
        <v/>
      </c>
      <c r="B147" s="40" t="str">
        <f aca="false">IF($H147="","",INDEX(Задачи!$A$1:$A$501,$H147)&amp;"")</f>
        <v/>
      </c>
      <c r="C147" s="40" t="str">
        <f aca="false">IF($H147="","",INDEX(Задачи!$B$1:$B$501,$H147)&amp;"")</f>
        <v/>
      </c>
      <c r="D147" s="39" t="str">
        <f aca="false">IF($H147="","",INDEX(Задачи!$C$1:$C$501,$H147)&amp;"")</f>
        <v/>
      </c>
      <c r="E147" s="41" t="str">
        <f aca="false">IF($H147="","",IF(INDEX(Задачи!$E$1:$E$501,$H147)="","",INDEX(Задачи!$E$1:$E$501,$H147)))</f>
        <v/>
      </c>
      <c r="F147" s="41" t="str">
        <f aca="false">IF($H147="","",IF(INDEX(Задачи!$F$1:$F$501,$H147)="","",INDEX(Задачи!$F$1:$F$501,$H147)))</f>
        <v/>
      </c>
      <c r="G147" s="40" t="str">
        <f aca="false">IF($H147="","",INDEX(Задачи!$I$1:$I$501,$H147)&amp;"")</f>
        <v/>
      </c>
      <c r="H147" s="20" t="str">
        <f aca="false">IFERROR(MOD(LARGE(Задачи!$P$2:$P$501,ROWS(H$5:H147)),1000),"")</f>
        <v/>
      </c>
    </row>
    <row r="148" customFormat="false" ht="30" hidden="false" customHeight="true" outlineLevel="0" collapsed="false">
      <c r="A148" s="39" t="str">
        <f aca="false">IF($H148="","",ROWS(A$5:A148))</f>
        <v/>
      </c>
      <c r="B148" s="40" t="str">
        <f aca="false">IF($H148="","",INDEX(Задачи!$A$1:$A$501,$H148)&amp;"")</f>
        <v/>
      </c>
      <c r="C148" s="40" t="str">
        <f aca="false">IF($H148="","",INDEX(Задачи!$B$1:$B$501,$H148)&amp;"")</f>
        <v/>
      </c>
      <c r="D148" s="39" t="str">
        <f aca="false">IF($H148="","",INDEX(Задачи!$C$1:$C$501,$H148)&amp;"")</f>
        <v/>
      </c>
      <c r="E148" s="41" t="str">
        <f aca="false">IF($H148="","",IF(INDEX(Задачи!$E$1:$E$501,$H148)="","",INDEX(Задачи!$E$1:$E$501,$H148)))</f>
        <v/>
      </c>
      <c r="F148" s="41" t="str">
        <f aca="false">IF($H148="","",IF(INDEX(Задачи!$F$1:$F$501,$H148)="","",INDEX(Задачи!$F$1:$F$501,$H148)))</f>
        <v/>
      </c>
      <c r="G148" s="40" t="str">
        <f aca="false">IF($H148="","",INDEX(Задачи!$I$1:$I$501,$H148)&amp;"")</f>
        <v/>
      </c>
      <c r="H148" s="20" t="str">
        <f aca="false">IFERROR(MOD(LARGE(Задачи!$P$2:$P$501,ROWS(H$5:H148)),1000),"")</f>
        <v/>
      </c>
    </row>
    <row r="149" customFormat="false" ht="30" hidden="false" customHeight="true" outlineLevel="0" collapsed="false">
      <c r="A149" s="39" t="str">
        <f aca="false">IF($H149="","",ROWS(A$5:A149))</f>
        <v/>
      </c>
      <c r="B149" s="40" t="str">
        <f aca="false">IF($H149="","",INDEX(Задачи!$A$1:$A$501,$H149)&amp;"")</f>
        <v/>
      </c>
      <c r="C149" s="40" t="str">
        <f aca="false">IF($H149="","",INDEX(Задачи!$B$1:$B$501,$H149)&amp;"")</f>
        <v/>
      </c>
      <c r="D149" s="39" t="str">
        <f aca="false">IF($H149="","",INDEX(Задачи!$C$1:$C$501,$H149)&amp;"")</f>
        <v/>
      </c>
      <c r="E149" s="41" t="str">
        <f aca="false">IF($H149="","",IF(INDEX(Задачи!$E$1:$E$501,$H149)="","",INDEX(Задачи!$E$1:$E$501,$H149)))</f>
        <v/>
      </c>
      <c r="F149" s="41" t="str">
        <f aca="false">IF($H149="","",IF(INDEX(Задачи!$F$1:$F$501,$H149)="","",INDEX(Задачи!$F$1:$F$501,$H149)))</f>
        <v/>
      </c>
      <c r="G149" s="40" t="str">
        <f aca="false">IF($H149="","",INDEX(Задачи!$I$1:$I$501,$H149)&amp;"")</f>
        <v/>
      </c>
      <c r="H149" s="20" t="str">
        <f aca="false">IFERROR(MOD(LARGE(Задачи!$P$2:$P$501,ROWS(H$5:H149)),1000),"")</f>
        <v/>
      </c>
    </row>
    <row r="150" customFormat="false" ht="30" hidden="false" customHeight="true" outlineLevel="0" collapsed="false">
      <c r="A150" s="39" t="str">
        <f aca="false">IF($H150="","",ROWS(A$5:A150))</f>
        <v/>
      </c>
      <c r="B150" s="40" t="str">
        <f aca="false">IF($H150="","",INDEX(Задачи!$A$1:$A$501,$H150)&amp;"")</f>
        <v/>
      </c>
      <c r="C150" s="40" t="str">
        <f aca="false">IF($H150="","",INDEX(Задачи!$B$1:$B$501,$H150)&amp;"")</f>
        <v/>
      </c>
      <c r="D150" s="39" t="str">
        <f aca="false">IF($H150="","",INDEX(Задачи!$C$1:$C$501,$H150)&amp;"")</f>
        <v/>
      </c>
      <c r="E150" s="41" t="str">
        <f aca="false">IF($H150="","",IF(INDEX(Задачи!$E$1:$E$501,$H150)="","",INDEX(Задачи!$E$1:$E$501,$H150)))</f>
        <v/>
      </c>
      <c r="F150" s="41" t="str">
        <f aca="false">IF($H150="","",IF(INDEX(Задачи!$F$1:$F$501,$H150)="","",INDEX(Задачи!$F$1:$F$501,$H150)))</f>
        <v/>
      </c>
      <c r="G150" s="40" t="str">
        <f aca="false">IF($H150="","",INDEX(Задачи!$I$1:$I$501,$H150)&amp;"")</f>
        <v/>
      </c>
      <c r="H150" s="20" t="str">
        <f aca="false">IFERROR(MOD(LARGE(Задачи!$P$2:$P$501,ROWS(H$5:H150)),1000),"")</f>
        <v/>
      </c>
    </row>
    <row r="151" customFormat="false" ht="30" hidden="false" customHeight="true" outlineLevel="0" collapsed="false">
      <c r="A151" s="39" t="str">
        <f aca="false">IF($H151="","",ROWS(A$5:A151))</f>
        <v/>
      </c>
      <c r="B151" s="40" t="str">
        <f aca="false">IF($H151="","",INDEX(Задачи!$A$1:$A$501,$H151)&amp;"")</f>
        <v/>
      </c>
      <c r="C151" s="40" t="str">
        <f aca="false">IF($H151="","",INDEX(Задачи!$B$1:$B$501,$H151)&amp;"")</f>
        <v/>
      </c>
      <c r="D151" s="39" t="str">
        <f aca="false">IF($H151="","",INDEX(Задачи!$C$1:$C$501,$H151)&amp;"")</f>
        <v/>
      </c>
      <c r="E151" s="41" t="str">
        <f aca="false">IF($H151="","",IF(INDEX(Задачи!$E$1:$E$501,$H151)="","",INDEX(Задачи!$E$1:$E$501,$H151)))</f>
        <v/>
      </c>
      <c r="F151" s="41" t="str">
        <f aca="false">IF($H151="","",IF(INDEX(Задачи!$F$1:$F$501,$H151)="","",INDEX(Задачи!$F$1:$F$501,$H151)))</f>
        <v/>
      </c>
      <c r="G151" s="40" t="str">
        <f aca="false">IF($H151="","",INDEX(Задачи!$I$1:$I$501,$H151)&amp;"")</f>
        <v/>
      </c>
      <c r="H151" s="20" t="str">
        <f aca="false">IFERROR(MOD(LARGE(Задачи!$P$2:$P$501,ROWS(H$5:H151)),1000),"")</f>
        <v/>
      </c>
    </row>
    <row r="152" customFormat="false" ht="30" hidden="false" customHeight="true" outlineLevel="0" collapsed="false">
      <c r="A152" s="39" t="str">
        <f aca="false">IF($H152="","",ROWS(A$5:A152))</f>
        <v/>
      </c>
      <c r="B152" s="40" t="str">
        <f aca="false">IF($H152="","",INDEX(Задачи!$A$1:$A$501,$H152)&amp;"")</f>
        <v/>
      </c>
      <c r="C152" s="40" t="str">
        <f aca="false">IF($H152="","",INDEX(Задачи!$B$1:$B$501,$H152)&amp;"")</f>
        <v/>
      </c>
      <c r="D152" s="39" t="str">
        <f aca="false">IF($H152="","",INDEX(Задачи!$C$1:$C$501,$H152)&amp;"")</f>
        <v/>
      </c>
      <c r="E152" s="41" t="str">
        <f aca="false">IF($H152="","",IF(INDEX(Задачи!$E$1:$E$501,$H152)="","",INDEX(Задачи!$E$1:$E$501,$H152)))</f>
        <v/>
      </c>
      <c r="F152" s="41" t="str">
        <f aca="false">IF($H152="","",IF(INDEX(Задачи!$F$1:$F$501,$H152)="","",INDEX(Задачи!$F$1:$F$501,$H152)))</f>
        <v/>
      </c>
      <c r="G152" s="40" t="str">
        <f aca="false">IF($H152="","",INDEX(Задачи!$I$1:$I$501,$H152)&amp;"")</f>
        <v/>
      </c>
      <c r="H152" s="20" t="str">
        <f aca="false">IFERROR(MOD(LARGE(Задачи!$P$2:$P$501,ROWS(H$5:H152)),1000),"")</f>
        <v/>
      </c>
    </row>
    <row r="153" customFormat="false" ht="30" hidden="false" customHeight="true" outlineLevel="0" collapsed="false">
      <c r="A153" s="39" t="str">
        <f aca="false">IF($H153="","",ROWS(A$5:A153))</f>
        <v/>
      </c>
      <c r="B153" s="40" t="str">
        <f aca="false">IF($H153="","",INDEX(Задачи!$A$1:$A$501,$H153)&amp;"")</f>
        <v/>
      </c>
      <c r="C153" s="40" t="str">
        <f aca="false">IF($H153="","",INDEX(Задачи!$B$1:$B$501,$H153)&amp;"")</f>
        <v/>
      </c>
      <c r="D153" s="39" t="str">
        <f aca="false">IF($H153="","",INDEX(Задачи!$C$1:$C$501,$H153)&amp;"")</f>
        <v/>
      </c>
      <c r="E153" s="41" t="str">
        <f aca="false">IF($H153="","",IF(INDEX(Задачи!$E$1:$E$501,$H153)="","",INDEX(Задачи!$E$1:$E$501,$H153)))</f>
        <v/>
      </c>
      <c r="F153" s="41" t="str">
        <f aca="false">IF($H153="","",IF(INDEX(Задачи!$F$1:$F$501,$H153)="","",INDEX(Задачи!$F$1:$F$501,$H153)))</f>
        <v/>
      </c>
      <c r="G153" s="40" t="str">
        <f aca="false">IF($H153="","",INDEX(Задачи!$I$1:$I$501,$H153)&amp;"")</f>
        <v/>
      </c>
      <c r="H153" s="20" t="str">
        <f aca="false">IFERROR(MOD(LARGE(Задачи!$P$2:$P$501,ROWS(H$5:H153)),1000),"")</f>
        <v/>
      </c>
    </row>
    <row r="154" customFormat="false" ht="30" hidden="false" customHeight="true" outlineLevel="0" collapsed="false">
      <c r="A154" s="39" t="str">
        <f aca="false">IF($H154="","",ROWS(A$5:A154))</f>
        <v/>
      </c>
      <c r="B154" s="40" t="str">
        <f aca="false">IF($H154="","",INDEX(Задачи!$A$1:$A$501,$H154)&amp;"")</f>
        <v/>
      </c>
      <c r="C154" s="40" t="str">
        <f aca="false">IF($H154="","",INDEX(Задачи!$B$1:$B$501,$H154)&amp;"")</f>
        <v/>
      </c>
      <c r="D154" s="39" t="str">
        <f aca="false">IF($H154="","",INDEX(Задачи!$C$1:$C$501,$H154)&amp;"")</f>
        <v/>
      </c>
      <c r="E154" s="41" t="str">
        <f aca="false">IF($H154="","",IF(INDEX(Задачи!$E$1:$E$501,$H154)="","",INDEX(Задачи!$E$1:$E$501,$H154)))</f>
        <v/>
      </c>
      <c r="F154" s="41" t="str">
        <f aca="false">IF($H154="","",IF(INDEX(Задачи!$F$1:$F$501,$H154)="","",INDEX(Задачи!$F$1:$F$501,$H154)))</f>
        <v/>
      </c>
      <c r="G154" s="40" t="str">
        <f aca="false">IF($H154="","",INDEX(Задачи!$I$1:$I$501,$H154)&amp;"")</f>
        <v/>
      </c>
      <c r="H154" s="20" t="str">
        <f aca="false">IFERROR(MOD(LARGE(Задачи!$P$2:$P$501,ROWS(H$5:H154)),1000),"")</f>
        <v/>
      </c>
    </row>
    <row r="155" customFormat="false" ht="30" hidden="false" customHeight="true" outlineLevel="0" collapsed="false">
      <c r="A155" s="39" t="str">
        <f aca="false">IF($H155="","",ROWS(A$5:A155))</f>
        <v/>
      </c>
      <c r="B155" s="40" t="str">
        <f aca="false">IF($H155="","",INDEX(Задачи!$A$1:$A$501,$H155)&amp;"")</f>
        <v/>
      </c>
      <c r="C155" s="40" t="str">
        <f aca="false">IF($H155="","",INDEX(Задачи!$B$1:$B$501,$H155)&amp;"")</f>
        <v/>
      </c>
      <c r="D155" s="39" t="str">
        <f aca="false">IF($H155="","",INDEX(Задачи!$C$1:$C$501,$H155)&amp;"")</f>
        <v/>
      </c>
      <c r="E155" s="41" t="str">
        <f aca="false">IF($H155="","",IF(INDEX(Задачи!$E$1:$E$501,$H155)="","",INDEX(Задачи!$E$1:$E$501,$H155)))</f>
        <v/>
      </c>
      <c r="F155" s="41" t="str">
        <f aca="false">IF($H155="","",IF(INDEX(Задачи!$F$1:$F$501,$H155)="","",INDEX(Задачи!$F$1:$F$501,$H155)))</f>
        <v/>
      </c>
      <c r="G155" s="40" t="str">
        <f aca="false">IF($H155="","",INDEX(Задачи!$I$1:$I$501,$H155)&amp;"")</f>
        <v/>
      </c>
      <c r="H155" s="20" t="str">
        <f aca="false">IFERROR(MOD(LARGE(Задачи!$P$2:$P$501,ROWS(H$5:H155)),1000),"")</f>
        <v/>
      </c>
    </row>
    <row r="156" customFormat="false" ht="30" hidden="false" customHeight="true" outlineLevel="0" collapsed="false">
      <c r="A156" s="39" t="str">
        <f aca="false">IF($H156="","",ROWS(A$5:A156))</f>
        <v/>
      </c>
      <c r="B156" s="40" t="str">
        <f aca="false">IF($H156="","",INDEX(Задачи!$A$1:$A$501,$H156)&amp;"")</f>
        <v/>
      </c>
      <c r="C156" s="40" t="str">
        <f aca="false">IF($H156="","",INDEX(Задачи!$B$1:$B$501,$H156)&amp;"")</f>
        <v/>
      </c>
      <c r="D156" s="39" t="str">
        <f aca="false">IF($H156="","",INDEX(Задачи!$C$1:$C$501,$H156)&amp;"")</f>
        <v/>
      </c>
      <c r="E156" s="41" t="str">
        <f aca="false">IF($H156="","",IF(INDEX(Задачи!$E$1:$E$501,$H156)="","",INDEX(Задачи!$E$1:$E$501,$H156)))</f>
        <v/>
      </c>
      <c r="F156" s="41" t="str">
        <f aca="false">IF($H156="","",IF(INDEX(Задачи!$F$1:$F$501,$H156)="","",INDEX(Задачи!$F$1:$F$501,$H156)))</f>
        <v/>
      </c>
      <c r="G156" s="40" t="str">
        <f aca="false">IF($H156="","",INDEX(Задачи!$I$1:$I$501,$H156)&amp;"")</f>
        <v/>
      </c>
      <c r="H156" s="20" t="str">
        <f aca="false">IFERROR(MOD(LARGE(Задачи!$P$2:$P$501,ROWS(H$5:H156)),1000),"")</f>
        <v/>
      </c>
    </row>
    <row r="157" customFormat="false" ht="30" hidden="false" customHeight="true" outlineLevel="0" collapsed="false">
      <c r="A157" s="39" t="str">
        <f aca="false">IF($H157="","",ROWS(A$5:A157))</f>
        <v/>
      </c>
      <c r="B157" s="40" t="str">
        <f aca="false">IF($H157="","",INDEX(Задачи!$A$1:$A$501,$H157)&amp;"")</f>
        <v/>
      </c>
      <c r="C157" s="40" t="str">
        <f aca="false">IF($H157="","",INDEX(Задачи!$B$1:$B$501,$H157)&amp;"")</f>
        <v/>
      </c>
      <c r="D157" s="39" t="str">
        <f aca="false">IF($H157="","",INDEX(Задачи!$C$1:$C$501,$H157)&amp;"")</f>
        <v/>
      </c>
      <c r="E157" s="41" t="str">
        <f aca="false">IF($H157="","",IF(INDEX(Задачи!$E$1:$E$501,$H157)="","",INDEX(Задачи!$E$1:$E$501,$H157)))</f>
        <v/>
      </c>
      <c r="F157" s="41" t="str">
        <f aca="false">IF($H157="","",IF(INDEX(Задачи!$F$1:$F$501,$H157)="","",INDEX(Задачи!$F$1:$F$501,$H157)))</f>
        <v/>
      </c>
      <c r="G157" s="40" t="str">
        <f aca="false">IF($H157="","",INDEX(Задачи!$I$1:$I$501,$H157)&amp;"")</f>
        <v/>
      </c>
      <c r="H157" s="20" t="str">
        <f aca="false">IFERROR(MOD(LARGE(Задачи!$P$2:$P$501,ROWS(H$5:H157)),1000),"")</f>
        <v/>
      </c>
    </row>
    <row r="158" customFormat="false" ht="30" hidden="false" customHeight="true" outlineLevel="0" collapsed="false">
      <c r="A158" s="39" t="str">
        <f aca="false">IF($H158="","",ROWS(A$5:A158))</f>
        <v/>
      </c>
      <c r="B158" s="40" t="str">
        <f aca="false">IF($H158="","",INDEX(Задачи!$A$1:$A$501,$H158)&amp;"")</f>
        <v/>
      </c>
      <c r="C158" s="40" t="str">
        <f aca="false">IF($H158="","",INDEX(Задачи!$B$1:$B$501,$H158)&amp;"")</f>
        <v/>
      </c>
      <c r="D158" s="39" t="str">
        <f aca="false">IF($H158="","",INDEX(Задачи!$C$1:$C$501,$H158)&amp;"")</f>
        <v/>
      </c>
      <c r="E158" s="41" t="str">
        <f aca="false">IF($H158="","",IF(INDEX(Задачи!$E$1:$E$501,$H158)="","",INDEX(Задачи!$E$1:$E$501,$H158)))</f>
        <v/>
      </c>
      <c r="F158" s="41" t="str">
        <f aca="false">IF($H158="","",IF(INDEX(Задачи!$F$1:$F$501,$H158)="","",INDEX(Задачи!$F$1:$F$501,$H158)))</f>
        <v/>
      </c>
      <c r="G158" s="40" t="str">
        <f aca="false">IF($H158="","",INDEX(Задачи!$I$1:$I$501,$H158)&amp;"")</f>
        <v/>
      </c>
      <c r="H158" s="20" t="str">
        <f aca="false">IFERROR(MOD(LARGE(Задачи!$P$2:$P$501,ROWS(H$5:H158)),1000),"")</f>
        <v/>
      </c>
    </row>
    <row r="159" customFormat="false" ht="30" hidden="false" customHeight="true" outlineLevel="0" collapsed="false">
      <c r="A159" s="39" t="str">
        <f aca="false">IF($H159="","",ROWS(A$5:A159))</f>
        <v/>
      </c>
      <c r="B159" s="40" t="str">
        <f aca="false">IF($H159="","",INDEX(Задачи!$A$1:$A$501,$H159)&amp;"")</f>
        <v/>
      </c>
      <c r="C159" s="40" t="str">
        <f aca="false">IF($H159="","",INDEX(Задачи!$B$1:$B$501,$H159)&amp;"")</f>
        <v/>
      </c>
      <c r="D159" s="39" t="str">
        <f aca="false">IF($H159="","",INDEX(Задачи!$C$1:$C$501,$H159)&amp;"")</f>
        <v/>
      </c>
      <c r="E159" s="41" t="str">
        <f aca="false">IF($H159="","",IF(INDEX(Задачи!$E$1:$E$501,$H159)="","",INDEX(Задачи!$E$1:$E$501,$H159)))</f>
        <v/>
      </c>
      <c r="F159" s="41" t="str">
        <f aca="false">IF($H159="","",IF(INDEX(Задачи!$F$1:$F$501,$H159)="","",INDEX(Задачи!$F$1:$F$501,$H159)))</f>
        <v/>
      </c>
      <c r="G159" s="40" t="str">
        <f aca="false">IF($H159="","",INDEX(Задачи!$I$1:$I$501,$H159)&amp;"")</f>
        <v/>
      </c>
      <c r="H159" s="20" t="str">
        <f aca="false">IFERROR(MOD(LARGE(Задачи!$P$2:$P$501,ROWS(H$5:H159)),1000),"")</f>
        <v/>
      </c>
    </row>
    <row r="160" customFormat="false" ht="30" hidden="false" customHeight="true" outlineLevel="0" collapsed="false">
      <c r="A160" s="39" t="str">
        <f aca="false">IF($H160="","",ROWS(A$5:A160))</f>
        <v/>
      </c>
      <c r="B160" s="40" t="str">
        <f aca="false">IF($H160="","",INDEX(Задачи!$A$1:$A$501,$H160)&amp;"")</f>
        <v/>
      </c>
      <c r="C160" s="40" t="str">
        <f aca="false">IF($H160="","",INDEX(Задачи!$B$1:$B$501,$H160)&amp;"")</f>
        <v/>
      </c>
      <c r="D160" s="39" t="str">
        <f aca="false">IF($H160="","",INDEX(Задачи!$C$1:$C$501,$H160)&amp;"")</f>
        <v/>
      </c>
      <c r="E160" s="41" t="str">
        <f aca="false">IF($H160="","",IF(INDEX(Задачи!$E$1:$E$501,$H160)="","",INDEX(Задачи!$E$1:$E$501,$H160)))</f>
        <v/>
      </c>
      <c r="F160" s="41" t="str">
        <f aca="false">IF($H160="","",IF(INDEX(Задачи!$F$1:$F$501,$H160)="","",INDEX(Задачи!$F$1:$F$501,$H160)))</f>
        <v/>
      </c>
      <c r="G160" s="40" t="str">
        <f aca="false">IF($H160="","",INDEX(Задачи!$I$1:$I$501,$H160)&amp;"")</f>
        <v/>
      </c>
      <c r="H160" s="20" t="str">
        <f aca="false">IFERROR(MOD(LARGE(Задачи!$P$2:$P$501,ROWS(H$5:H160)),1000),"")</f>
        <v/>
      </c>
    </row>
    <row r="161" customFormat="false" ht="30" hidden="false" customHeight="true" outlineLevel="0" collapsed="false">
      <c r="A161" s="39" t="str">
        <f aca="false">IF($H161="","",ROWS(A$5:A161))</f>
        <v/>
      </c>
      <c r="B161" s="40" t="str">
        <f aca="false">IF($H161="","",INDEX(Задачи!$A$1:$A$501,$H161)&amp;"")</f>
        <v/>
      </c>
      <c r="C161" s="40" t="str">
        <f aca="false">IF($H161="","",INDEX(Задачи!$B$1:$B$501,$H161)&amp;"")</f>
        <v/>
      </c>
      <c r="D161" s="39" t="str">
        <f aca="false">IF($H161="","",INDEX(Задачи!$C$1:$C$501,$H161)&amp;"")</f>
        <v/>
      </c>
      <c r="E161" s="41" t="str">
        <f aca="false">IF($H161="","",IF(INDEX(Задачи!$E$1:$E$501,$H161)="","",INDEX(Задачи!$E$1:$E$501,$H161)))</f>
        <v/>
      </c>
      <c r="F161" s="41" t="str">
        <f aca="false">IF($H161="","",IF(INDEX(Задачи!$F$1:$F$501,$H161)="","",INDEX(Задачи!$F$1:$F$501,$H161)))</f>
        <v/>
      </c>
      <c r="G161" s="40" t="str">
        <f aca="false">IF($H161="","",INDEX(Задачи!$I$1:$I$501,$H161)&amp;"")</f>
        <v/>
      </c>
      <c r="H161" s="20" t="str">
        <f aca="false">IFERROR(MOD(LARGE(Задачи!$P$2:$P$501,ROWS(H$5:H161)),1000),"")</f>
        <v/>
      </c>
    </row>
    <row r="162" customFormat="false" ht="30" hidden="false" customHeight="true" outlineLevel="0" collapsed="false">
      <c r="A162" s="39" t="str">
        <f aca="false">IF($H162="","",ROWS(A$5:A162))</f>
        <v/>
      </c>
      <c r="B162" s="40" t="str">
        <f aca="false">IF($H162="","",INDEX(Задачи!$A$1:$A$501,$H162)&amp;"")</f>
        <v/>
      </c>
      <c r="C162" s="40" t="str">
        <f aca="false">IF($H162="","",INDEX(Задачи!$B$1:$B$501,$H162)&amp;"")</f>
        <v/>
      </c>
      <c r="D162" s="39" t="str">
        <f aca="false">IF($H162="","",INDEX(Задачи!$C$1:$C$501,$H162)&amp;"")</f>
        <v/>
      </c>
      <c r="E162" s="41" t="str">
        <f aca="false">IF($H162="","",IF(INDEX(Задачи!$E$1:$E$501,$H162)="","",INDEX(Задачи!$E$1:$E$501,$H162)))</f>
        <v/>
      </c>
      <c r="F162" s="41" t="str">
        <f aca="false">IF($H162="","",IF(INDEX(Задачи!$F$1:$F$501,$H162)="","",INDEX(Задачи!$F$1:$F$501,$H162)))</f>
        <v/>
      </c>
      <c r="G162" s="40" t="str">
        <f aca="false">IF($H162="","",INDEX(Задачи!$I$1:$I$501,$H162)&amp;"")</f>
        <v/>
      </c>
      <c r="H162" s="20" t="str">
        <f aca="false">IFERROR(MOD(LARGE(Задачи!$P$2:$P$501,ROWS(H$5:H162)),1000),"")</f>
        <v/>
      </c>
    </row>
    <row r="163" customFormat="false" ht="30" hidden="false" customHeight="true" outlineLevel="0" collapsed="false">
      <c r="A163" s="39" t="str">
        <f aca="false">IF($H163="","",ROWS(A$5:A163))</f>
        <v/>
      </c>
      <c r="B163" s="40" t="str">
        <f aca="false">IF($H163="","",INDEX(Задачи!$A$1:$A$501,$H163)&amp;"")</f>
        <v/>
      </c>
      <c r="C163" s="40" t="str">
        <f aca="false">IF($H163="","",INDEX(Задачи!$B$1:$B$501,$H163)&amp;"")</f>
        <v/>
      </c>
      <c r="D163" s="39" t="str">
        <f aca="false">IF($H163="","",INDEX(Задачи!$C$1:$C$501,$H163)&amp;"")</f>
        <v/>
      </c>
      <c r="E163" s="41" t="str">
        <f aca="false">IF($H163="","",IF(INDEX(Задачи!$E$1:$E$501,$H163)="","",INDEX(Задачи!$E$1:$E$501,$H163)))</f>
        <v/>
      </c>
      <c r="F163" s="41" t="str">
        <f aca="false">IF($H163="","",IF(INDEX(Задачи!$F$1:$F$501,$H163)="","",INDEX(Задачи!$F$1:$F$501,$H163)))</f>
        <v/>
      </c>
      <c r="G163" s="40" t="str">
        <f aca="false">IF($H163="","",INDEX(Задачи!$I$1:$I$501,$H163)&amp;"")</f>
        <v/>
      </c>
      <c r="H163" s="20" t="str">
        <f aca="false">IFERROR(MOD(LARGE(Задачи!$P$2:$P$501,ROWS(H$5:H163)),1000),"")</f>
        <v/>
      </c>
    </row>
    <row r="164" customFormat="false" ht="30" hidden="false" customHeight="true" outlineLevel="0" collapsed="false">
      <c r="A164" s="39" t="str">
        <f aca="false">IF($H164="","",ROWS(A$5:A164))</f>
        <v/>
      </c>
      <c r="B164" s="40" t="str">
        <f aca="false">IF($H164="","",INDEX(Задачи!$A$1:$A$501,$H164)&amp;"")</f>
        <v/>
      </c>
      <c r="C164" s="40" t="str">
        <f aca="false">IF($H164="","",INDEX(Задачи!$B$1:$B$501,$H164)&amp;"")</f>
        <v/>
      </c>
      <c r="D164" s="39" t="str">
        <f aca="false">IF($H164="","",INDEX(Задачи!$C$1:$C$501,$H164)&amp;"")</f>
        <v/>
      </c>
      <c r="E164" s="41" t="str">
        <f aca="false">IF($H164="","",IF(INDEX(Задачи!$E$1:$E$501,$H164)="","",INDEX(Задачи!$E$1:$E$501,$H164)))</f>
        <v/>
      </c>
      <c r="F164" s="41" t="str">
        <f aca="false">IF($H164="","",IF(INDEX(Задачи!$F$1:$F$501,$H164)="","",INDEX(Задачи!$F$1:$F$501,$H164)))</f>
        <v/>
      </c>
      <c r="G164" s="40" t="str">
        <f aca="false">IF($H164="","",INDEX(Задачи!$I$1:$I$501,$H164)&amp;"")</f>
        <v/>
      </c>
      <c r="H164" s="20" t="str">
        <f aca="false">IFERROR(MOD(LARGE(Задачи!$P$2:$P$501,ROWS(H$5:H164)),1000),"")</f>
        <v/>
      </c>
    </row>
    <row r="165" customFormat="false" ht="30" hidden="false" customHeight="true" outlineLevel="0" collapsed="false">
      <c r="A165" s="39" t="str">
        <f aca="false">IF($H165="","",ROWS(A$5:A165))</f>
        <v/>
      </c>
      <c r="B165" s="40" t="str">
        <f aca="false">IF($H165="","",INDEX(Задачи!$A$1:$A$501,$H165)&amp;"")</f>
        <v/>
      </c>
      <c r="C165" s="40" t="str">
        <f aca="false">IF($H165="","",INDEX(Задачи!$B$1:$B$501,$H165)&amp;"")</f>
        <v/>
      </c>
      <c r="D165" s="39" t="str">
        <f aca="false">IF($H165="","",INDEX(Задачи!$C$1:$C$501,$H165)&amp;"")</f>
        <v/>
      </c>
      <c r="E165" s="41" t="str">
        <f aca="false">IF($H165="","",IF(INDEX(Задачи!$E$1:$E$501,$H165)="","",INDEX(Задачи!$E$1:$E$501,$H165)))</f>
        <v/>
      </c>
      <c r="F165" s="41" t="str">
        <f aca="false">IF($H165="","",IF(INDEX(Задачи!$F$1:$F$501,$H165)="","",INDEX(Задачи!$F$1:$F$501,$H165)))</f>
        <v/>
      </c>
      <c r="G165" s="40" t="str">
        <f aca="false">IF($H165="","",INDEX(Задачи!$I$1:$I$501,$H165)&amp;"")</f>
        <v/>
      </c>
      <c r="H165" s="20" t="str">
        <f aca="false">IFERROR(MOD(LARGE(Задачи!$P$2:$P$501,ROWS(H$5:H165)),1000),"")</f>
        <v/>
      </c>
    </row>
    <row r="166" customFormat="false" ht="30" hidden="false" customHeight="true" outlineLevel="0" collapsed="false">
      <c r="A166" s="39" t="str">
        <f aca="false">IF($H166="","",ROWS(A$5:A166))</f>
        <v/>
      </c>
      <c r="B166" s="40" t="str">
        <f aca="false">IF($H166="","",INDEX(Задачи!$A$1:$A$501,$H166)&amp;"")</f>
        <v/>
      </c>
      <c r="C166" s="40" t="str">
        <f aca="false">IF($H166="","",INDEX(Задачи!$B$1:$B$501,$H166)&amp;"")</f>
        <v/>
      </c>
      <c r="D166" s="39" t="str">
        <f aca="false">IF($H166="","",INDEX(Задачи!$C$1:$C$501,$H166)&amp;"")</f>
        <v/>
      </c>
      <c r="E166" s="41" t="str">
        <f aca="false">IF($H166="","",IF(INDEX(Задачи!$E$1:$E$501,$H166)="","",INDEX(Задачи!$E$1:$E$501,$H166)))</f>
        <v/>
      </c>
      <c r="F166" s="41" t="str">
        <f aca="false">IF($H166="","",IF(INDEX(Задачи!$F$1:$F$501,$H166)="","",INDEX(Задачи!$F$1:$F$501,$H166)))</f>
        <v/>
      </c>
      <c r="G166" s="40" t="str">
        <f aca="false">IF($H166="","",INDEX(Задачи!$I$1:$I$501,$H166)&amp;"")</f>
        <v/>
      </c>
      <c r="H166" s="20" t="str">
        <f aca="false">IFERROR(MOD(LARGE(Задачи!$P$2:$P$501,ROWS(H$5:H166)),1000),"")</f>
        <v/>
      </c>
    </row>
    <row r="167" customFormat="false" ht="30" hidden="false" customHeight="true" outlineLevel="0" collapsed="false">
      <c r="A167" s="39" t="str">
        <f aca="false">IF($H167="","",ROWS(A$5:A167))</f>
        <v/>
      </c>
      <c r="B167" s="40" t="str">
        <f aca="false">IF($H167="","",INDEX(Задачи!$A$1:$A$501,$H167)&amp;"")</f>
        <v/>
      </c>
      <c r="C167" s="40" t="str">
        <f aca="false">IF($H167="","",INDEX(Задачи!$B$1:$B$501,$H167)&amp;"")</f>
        <v/>
      </c>
      <c r="D167" s="39" t="str">
        <f aca="false">IF($H167="","",INDEX(Задачи!$C$1:$C$501,$H167)&amp;"")</f>
        <v/>
      </c>
      <c r="E167" s="41" t="str">
        <f aca="false">IF($H167="","",IF(INDEX(Задачи!$E$1:$E$501,$H167)="","",INDEX(Задачи!$E$1:$E$501,$H167)))</f>
        <v/>
      </c>
      <c r="F167" s="41" t="str">
        <f aca="false">IF($H167="","",IF(INDEX(Задачи!$F$1:$F$501,$H167)="","",INDEX(Задачи!$F$1:$F$501,$H167)))</f>
        <v/>
      </c>
      <c r="G167" s="40" t="str">
        <f aca="false">IF($H167="","",INDEX(Задачи!$I$1:$I$501,$H167)&amp;"")</f>
        <v/>
      </c>
      <c r="H167" s="20" t="str">
        <f aca="false">IFERROR(MOD(LARGE(Задачи!$P$2:$P$501,ROWS(H$5:H167)),1000),"")</f>
        <v/>
      </c>
    </row>
    <row r="168" customFormat="false" ht="30" hidden="false" customHeight="true" outlineLevel="0" collapsed="false">
      <c r="A168" s="39" t="str">
        <f aca="false">IF($H168="","",ROWS(A$5:A168))</f>
        <v/>
      </c>
      <c r="B168" s="40" t="str">
        <f aca="false">IF($H168="","",INDEX(Задачи!$A$1:$A$501,$H168)&amp;"")</f>
        <v/>
      </c>
      <c r="C168" s="40" t="str">
        <f aca="false">IF($H168="","",INDEX(Задачи!$B$1:$B$501,$H168)&amp;"")</f>
        <v/>
      </c>
      <c r="D168" s="39" t="str">
        <f aca="false">IF($H168="","",INDEX(Задачи!$C$1:$C$501,$H168)&amp;"")</f>
        <v/>
      </c>
      <c r="E168" s="41" t="str">
        <f aca="false">IF($H168="","",IF(INDEX(Задачи!$E$1:$E$501,$H168)="","",INDEX(Задачи!$E$1:$E$501,$H168)))</f>
        <v/>
      </c>
      <c r="F168" s="41" t="str">
        <f aca="false">IF($H168="","",IF(INDEX(Задачи!$F$1:$F$501,$H168)="","",INDEX(Задачи!$F$1:$F$501,$H168)))</f>
        <v/>
      </c>
      <c r="G168" s="40" t="str">
        <f aca="false">IF($H168="","",INDEX(Задачи!$I$1:$I$501,$H168)&amp;"")</f>
        <v/>
      </c>
      <c r="H168" s="20" t="str">
        <f aca="false">IFERROR(MOD(LARGE(Задачи!$P$2:$P$501,ROWS(H$5:H168)),1000),"")</f>
        <v/>
      </c>
    </row>
    <row r="169" customFormat="false" ht="30" hidden="false" customHeight="true" outlineLevel="0" collapsed="false">
      <c r="A169" s="39" t="str">
        <f aca="false">IF($H169="","",ROWS(A$5:A169))</f>
        <v/>
      </c>
      <c r="B169" s="40" t="str">
        <f aca="false">IF($H169="","",INDEX(Задачи!$A$1:$A$501,$H169)&amp;"")</f>
        <v/>
      </c>
      <c r="C169" s="40" t="str">
        <f aca="false">IF($H169="","",INDEX(Задачи!$B$1:$B$501,$H169)&amp;"")</f>
        <v/>
      </c>
      <c r="D169" s="39" t="str">
        <f aca="false">IF($H169="","",INDEX(Задачи!$C$1:$C$501,$H169)&amp;"")</f>
        <v/>
      </c>
      <c r="E169" s="41" t="str">
        <f aca="false">IF($H169="","",IF(INDEX(Задачи!$E$1:$E$501,$H169)="","",INDEX(Задачи!$E$1:$E$501,$H169)))</f>
        <v/>
      </c>
      <c r="F169" s="41" t="str">
        <f aca="false">IF($H169="","",IF(INDEX(Задачи!$F$1:$F$501,$H169)="","",INDEX(Задачи!$F$1:$F$501,$H169)))</f>
        <v/>
      </c>
      <c r="G169" s="40" t="str">
        <f aca="false">IF($H169="","",INDEX(Задачи!$I$1:$I$501,$H169)&amp;"")</f>
        <v/>
      </c>
      <c r="H169" s="20" t="str">
        <f aca="false">IFERROR(MOD(LARGE(Задачи!$P$2:$P$501,ROWS(H$5:H169)),1000),"")</f>
        <v/>
      </c>
    </row>
    <row r="170" customFormat="false" ht="30" hidden="false" customHeight="true" outlineLevel="0" collapsed="false">
      <c r="A170" s="39" t="str">
        <f aca="false">IF($H170="","",ROWS(A$5:A170))</f>
        <v/>
      </c>
      <c r="B170" s="40" t="str">
        <f aca="false">IF($H170="","",INDEX(Задачи!$A$1:$A$501,$H170)&amp;"")</f>
        <v/>
      </c>
      <c r="C170" s="40" t="str">
        <f aca="false">IF($H170="","",INDEX(Задачи!$B$1:$B$501,$H170)&amp;"")</f>
        <v/>
      </c>
      <c r="D170" s="39" t="str">
        <f aca="false">IF($H170="","",INDEX(Задачи!$C$1:$C$501,$H170)&amp;"")</f>
        <v/>
      </c>
      <c r="E170" s="41" t="str">
        <f aca="false">IF($H170="","",IF(INDEX(Задачи!$E$1:$E$501,$H170)="","",INDEX(Задачи!$E$1:$E$501,$H170)))</f>
        <v/>
      </c>
      <c r="F170" s="41" t="str">
        <f aca="false">IF($H170="","",IF(INDEX(Задачи!$F$1:$F$501,$H170)="","",INDEX(Задачи!$F$1:$F$501,$H170)))</f>
        <v/>
      </c>
      <c r="G170" s="40" t="str">
        <f aca="false">IF($H170="","",INDEX(Задачи!$I$1:$I$501,$H170)&amp;"")</f>
        <v/>
      </c>
      <c r="H170" s="20" t="str">
        <f aca="false">IFERROR(MOD(LARGE(Задачи!$P$2:$P$501,ROWS(H$5:H170)),1000),"")</f>
        <v/>
      </c>
    </row>
    <row r="171" customFormat="false" ht="30" hidden="false" customHeight="true" outlineLevel="0" collapsed="false">
      <c r="A171" s="39" t="str">
        <f aca="false">IF($H171="","",ROWS(A$5:A171))</f>
        <v/>
      </c>
      <c r="B171" s="40" t="str">
        <f aca="false">IF($H171="","",INDEX(Задачи!$A$1:$A$501,$H171)&amp;"")</f>
        <v/>
      </c>
      <c r="C171" s="40" t="str">
        <f aca="false">IF($H171="","",INDEX(Задачи!$B$1:$B$501,$H171)&amp;"")</f>
        <v/>
      </c>
      <c r="D171" s="39" t="str">
        <f aca="false">IF($H171="","",INDEX(Задачи!$C$1:$C$501,$H171)&amp;"")</f>
        <v/>
      </c>
      <c r="E171" s="41" t="str">
        <f aca="false">IF($H171="","",IF(INDEX(Задачи!$E$1:$E$501,$H171)="","",INDEX(Задачи!$E$1:$E$501,$H171)))</f>
        <v/>
      </c>
      <c r="F171" s="41" t="str">
        <f aca="false">IF($H171="","",IF(INDEX(Задачи!$F$1:$F$501,$H171)="","",INDEX(Задачи!$F$1:$F$501,$H171)))</f>
        <v/>
      </c>
      <c r="G171" s="40" t="str">
        <f aca="false">IF($H171="","",INDEX(Задачи!$I$1:$I$501,$H171)&amp;"")</f>
        <v/>
      </c>
      <c r="H171" s="20" t="str">
        <f aca="false">IFERROR(MOD(LARGE(Задачи!$P$2:$P$501,ROWS(H$5:H171)),1000),"")</f>
        <v/>
      </c>
    </row>
    <row r="172" customFormat="false" ht="30" hidden="false" customHeight="true" outlineLevel="0" collapsed="false">
      <c r="A172" s="39" t="str">
        <f aca="false">IF($H172="","",ROWS(A$5:A172))</f>
        <v/>
      </c>
      <c r="B172" s="40" t="str">
        <f aca="false">IF($H172="","",INDEX(Задачи!$A$1:$A$501,$H172)&amp;"")</f>
        <v/>
      </c>
      <c r="C172" s="40" t="str">
        <f aca="false">IF($H172="","",INDEX(Задачи!$B$1:$B$501,$H172)&amp;"")</f>
        <v/>
      </c>
      <c r="D172" s="39" t="str">
        <f aca="false">IF($H172="","",INDEX(Задачи!$C$1:$C$501,$H172)&amp;"")</f>
        <v/>
      </c>
      <c r="E172" s="41" t="str">
        <f aca="false">IF($H172="","",IF(INDEX(Задачи!$E$1:$E$501,$H172)="","",INDEX(Задачи!$E$1:$E$501,$H172)))</f>
        <v/>
      </c>
      <c r="F172" s="41" t="str">
        <f aca="false">IF($H172="","",IF(INDEX(Задачи!$F$1:$F$501,$H172)="","",INDEX(Задачи!$F$1:$F$501,$H172)))</f>
        <v/>
      </c>
      <c r="G172" s="40" t="str">
        <f aca="false">IF($H172="","",INDEX(Задачи!$I$1:$I$501,$H172)&amp;"")</f>
        <v/>
      </c>
      <c r="H172" s="20" t="str">
        <f aca="false">IFERROR(MOD(LARGE(Задачи!$P$2:$P$501,ROWS(H$5:H172)),1000),"")</f>
        <v/>
      </c>
    </row>
    <row r="173" customFormat="false" ht="30" hidden="false" customHeight="true" outlineLevel="0" collapsed="false">
      <c r="A173" s="39" t="str">
        <f aca="false">IF($H173="","",ROWS(A$5:A173))</f>
        <v/>
      </c>
      <c r="B173" s="40" t="str">
        <f aca="false">IF($H173="","",INDEX(Задачи!$A$1:$A$501,$H173)&amp;"")</f>
        <v/>
      </c>
      <c r="C173" s="40" t="str">
        <f aca="false">IF($H173="","",INDEX(Задачи!$B$1:$B$501,$H173)&amp;"")</f>
        <v/>
      </c>
      <c r="D173" s="39" t="str">
        <f aca="false">IF($H173="","",INDEX(Задачи!$C$1:$C$501,$H173)&amp;"")</f>
        <v/>
      </c>
      <c r="E173" s="41" t="str">
        <f aca="false">IF($H173="","",IF(INDEX(Задачи!$E$1:$E$501,$H173)="","",INDEX(Задачи!$E$1:$E$501,$H173)))</f>
        <v/>
      </c>
      <c r="F173" s="41" t="str">
        <f aca="false">IF($H173="","",IF(INDEX(Задачи!$F$1:$F$501,$H173)="","",INDEX(Задачи!$F$1:$F$501,$H173)))</f>
        <v/>
      </c>
      <c r="G173" s="40" t="str">
        <f aca="false">IF($H173="","",INDEX(Задачи!$I$1:$I$501,$H173)&amp;"")</f>
        <v/>
      </c>
      <c r="H173" s="20" t="str">
        <f aca="false">IFERROR(MOD(LARGE(Задачи!$P$2:$P$501,ROWS(H$5:H173)),1000),"")</f>
        <v/>
      </c>
    </row>
    <row r="174" customFormat="false" ht="30" hidden="false" customHeight="true" outlineLevel="0" collapsed="false">
      <c r="A174" s="39" t="str">
        <f aca="false">IF($H174="","",ROWS(A$5:A174))</f>
        <v/>
      </c>
      <c r="B174" s="40" t="str">
        <f aca="false">IF($H174="","",INDEX(Задачи!$A$1:$A$501,$H174)&amp;"")</f>
        <v/>
      </c>
      <c r="C174" s="40" t="str">
        <f aca="false">IF($H174="","",INDEX(Задачи!$B$1:$B$501,$H174)&amp;"")</f>
        <v/>
      </c>
      <c r="D174" s="39" t="str">
        <f aca="false">IF($H174="","",INDEX(Задачи!$C$1:$C$501,$H174)&amp;"")</f>
        <v/>
      </c>
      <c r="E174" s="41" t="str">
        <f aca="false">IF($H174="","",IF(INDEX(Задачи!$E$1:$E$501,$H174)="","",INDEX(Задачи!$E$1:$E$501,$H174)))</f>
        <v/>
      </c>
      <c r="F174" s="41" t="str">
        <f aca="false">IF($H174="","",IF(INDEX(Задачи!$F$1:$F$501,$H174)="","",INDEX(Задачи!$F$1:$F$501,$H174)))</f>
        <v/>
      </c>
      <c r="G174" s="40" t="str">
        <f aca="false">IF($H174="","",INDEX(Задачи!$I$1:$I$501,$H174)&amp;"")</f>
        <v/>
      </c>
      <c r="H174" s="20" t="str">
        <f aca="false">IFERROR(MOD(LARGE(Задачи!$P$2:$P$501,ROWS(H$5:H174)),1000),"")</f>
        <v/>
      </c>
    </row>
    <row r="175" customFormat="false" ht="30" hidden="false" customHeight="true" outlineLevel="0" collapsed="false">
      <c r="A175" s="39" t="str">
        <f aca="false">IF($H175="","",ROWS(A$5:A175))</f>
        <v/>
      </c>
      <c r="B175" s="40" t="str">
        <f aca="false">IF($H175="","",INDEX(Задачи!$A$1:$A$501,$H175)&amp;"")</f>
        <v/>
      </c>
      <c r="C175" s="40" t="str">
        <f aca="false">IF($H175="","",INDEX(Задачи!$B$1:$B$501,$H175)&amp;"")</f>
        <v/>
      </c>
      <c r="D175" s="39" t="str">
        <f aca="false">IF($H175="","",INDEX(Задачи!$C$1:$C$501,$H175)&amp;"")</f>
        <v/>
      </c>
      <c r="E175" s="41" t="str">
        <f aca="false">IF($H175="","",IF(INDEX(Задачи!$E$1:$E$501,$H175)="","",INDEX(Задачи!$E$1:$E$501,$H175)))</f>
        <v/>
      </c>
      <c r="F175" s="41" t="str">
        <f aca="false">IF($H175="","",IF(INDEX(Задачи!$F$1:$F$501,$H175)="","",INDEX(Задачи!$F$1:$F$501,$H175)))</f>
        <v/>
      </c>
      <c r="G175" s="40" t="str">
        <f aca="false">IF($H175="","",INDEX(Задачи!$I$1:$I$501,$H175)&amp;"")</f>
        <v/>
      </c>
      <c r="H175" s="20" t="str">
        <f aca="false">IFERROR(MOD(LARGE(Задачи!$P$2:$P$501,ROWS(H$5:H175)),1000),"")</f>
        <v/>
      </c>
    </row>
    <row r="176" customFormat="false" ht="30" hidden="false" customHeight="true" outlineLevel="0" collapsed="false">
      <c r="A176" s="39" t="str">
        <f aca="false">IF($H176="","",ROWS(A$5:A176))</f>
        <v/>
      </c>
      <c r="B176" s="40" t="str">
        <f aca="false">IF($H176="","",INDEX(Задачи!$A$1:$A$501,$H176)&amp;"")</f>
        <v/>
      </c>
      <c r="C176" s="40" t="str">
        <f aca="false">IF($H176="","",INDEX(Задачи!$B$1:$B$501,$H176)&amp;"")</f>
        <v/>
      </c>
      <c r="D176" s="39" t="str">
        <f aca="false">IF($H176="","",INDEX(Задачи!$C$1:$C$501,$H176)&amp;"")</f>
        <v/>
      </c>
      <c r="E176" s="41" t="str">
        <f aca="false">IF($H176="","",IF(INDEX(Задачи!$E$1:$E$501,$H176)="","",INDEX(Задачи!$E$1:$E$501,$H176)))</f>
        <v/>
      </c>
      <c r="F176" s="41" t="str">
        <f aca="false">IF($H176="","",IF(INDEX(Задачи!$F$1:$F$501,$H176)="","",INDEX(Задачи!$F$1:$F$501,$H176)))</f>
        <v/>
      </c>
      <c r="G176" s="40" t="str">
        <f aca="false">IF($H176="","",INDEX(Задачи!$I$1:$I$501,$H176)&amp;"")</f>
        <v/>
      </c>
      <c r="H176" s="20" t="str">
        <f aca="false">IFERROR(MOD(LARGE(Задачи!$P$2:$P$501,ROWS(H$5:H176)),1000),"")</f>
        <v/>
      </c>
    </row>
    <row r="177" customFormat="false" ht="30" hidden="false" customHeight="true" outlineLevel="0" collapsed="false">
      <c r="A177" s="39" t="str">
        <f aca="false">IF($H177="","",ROWS(A$5:A177))</f>
        <v/>
      </c>
      <c r="B177" s="40" t="str">
        <f aca="false">IF($H177="","",INDEX(Задачи!$A$1:$A$501,$H177)&amp;"")</f>
        <v/>
      </c>
      <c r="C177" s="40" t="str">
        <f aca="false">IF($H177="","",INDEX(Задачи!$B$1:$B$501,$H177)&amp;"")</f>
        <v/>
      </c>
      <c r="D177" s="39" t="str">
        <f aca="false">IF($H177="","",INDEX(Задачи!$C$1:$C$501,$H177)&amp;"")</f>
        <v/>
      </c>
      <c r="E177" s="41" t="str">
        <f aca="false">IF($H177="","",IF(INDEX(Задачи!$E$1:$E$501,$H177)="","",INDEX(Задачи!$E$1:$E$501,$H177)))</f>
        <v/>
      </c>
      <c r="F177" s="41" t="str">
        <f aca="false">IF($H177="","",IF(INDEX(Задачи!$F$1:$F$501,$H177)="","",INDEX(Задачи!$F$1:$F$501,$H177)))</f>
        <v/>
      </c>
      <c r="G177" s="40" t="str">
        <f aca="false">IF($H177="","",INDEX(Задачи!$I$1:$I$501,$H177)&amp;"")</f>
        <v/>
      </c>
      <c r="H177" s="20" t="str">
        <f aca="false">IFERROR(MOD(LARGE(Задачи!$P$2:$P$501,ROWS(H$5:H177)),1000),"")</f>
        <v/>
      </c>
    </row>
    <row r="178" customFormat="false" ht="30" hidden="false" customHeight="true" outlineLevel="0" collapsed="false">
      <c r="A178" s="39" t="str">
        <f aca="false">IF($H178="","",ROWS(A$5:A178))</f>
        <v/>
      </c>
      <c r="B178" s="40" t="str">
        <f aca="false">IF($H178="","",INDEX(Задачи!$A$1:$A$501,$H178)&amp;"")</f>
        <v/>
      </c>
      <c r="C178" s="40" t="str">
        <f aca="false">IF($H178="","",INDEX(Задачи!$B$1:$B$501,$H178)&amp;"")</f>
        <v/>
      </c>
      <c r="D178" s="39" t="str">
        <f aca="false">IF($H178="","",INDEX(Задачи!$C$1:$C$501,$H178)&amp;"")</f>
        <v/>
      </c>
      <c r="E178" s="41" t="str">
        <f aca="false">IF($H178="","",IF(INDEX(Задачи!$E$1:$E$501,$H178)="","",INDEX(Задачи!$E$1:$E$501,$H178)))</f>
        <v/>
      </c>
      <c r="F178" s="41" t="str">
        <f aca="false">IF($H178="","",IF(INDEX(Задачи!$F$1:$F$501,$H178)="","",INDEX(Задачи!$F$1:$F$501,$H178)))</f>
        <v/>
      </c>
      <c r="G178" s="40" t="str">
        <f aca="false">IF($H178="","",INDEX(Задачи!$I$1:$I$501,$H178)&amp;"")</f>
        <v/>
      </c>
      <c r="H178" s="20" t="str">
        <f aca="false">IFERROR(MOD(LARGE(Задачи!$P$2:$P$501,ROWS(H$5:H178)),1000),"")</f>
        <v/>
      </c>
    </row>
    <row r="179" customFormat="false" ht="30" hidden="false" customHeight="true" outlineLevel="0" collapsed="false">
      <c r="A179" s="39" t="str">
        <f aca="false">IF($H179="","",ROWS(A$5:A179))</f>
        <v/>
      </c>
      <c r="B179" s="40" t="str">
        <f aca="false">IF($H179="","",INDEX(Задачи!$A$1:$A$501,$H179)&amp;"")</f>
        <v/>
      </c>
      <c r="C179" s="40" t="str">
        <f aca="false">IF($H179="","",INDEX(Задачи!$B$1:$B$501,$H179)&amp;"")</f>
        <v/>
      </c>
      <c r="D179" s="39" t="str">
        <f aca="false">IF($H179="","",INDEX(Задачи!$C$1:$C$501,$H179)&amp;"")</f>
        <v/>
      </c>
      <c r="E179" s="41" t="str">
        <f aca="false">IF($H179="","",IF(INDEX(Задачи!$E$1:$E$501,$H179)="","",INDEX(Задачи!$E$1:$E$501,$H179)))</f>
        <v/>
      </c>
      <c r="F179" s="41" t="str">
        <f aca="false">IF($H179="","",IF(INDEX(Задачи!$F$1:$F$501,$H179)="","",INDEX(Задачи!$F$1:$F$501,$H179)))</f>
        <v/>
      </c>
      <c r="G179" s="40" t="str">
        <f aca="false">IF($H179="","",INDEX(Задачи!$I$1:$I$501,$H179)&amp;"")</f>
        <v/>
      </c>
      <c r="H179" s="20" t="str">
        <f aca="false">IFERROR(MOD(LARGE(Задачи!$P$2:$P$501,ROWS(H$5:H179)),1000),"")</f>
        <v/>
      </c>
    </row>
    <row r="180" customFormat="false" ht="30" hidden="false" customHeight="true" outlineLevel="0" collapsed="false">
      <c r="A180" s="39" t="str">
        <f aca="false">IF($H180="","",ROWS(A$5:A180))</f>
        <v/>
      </c>
      <c r="B180" s="40" t="str">
        <f aca="false">IF($H180="","",INDEX(Задачи!$A$1:$A$501,$H180)&amp;"")</f>
        <v/>
      </c>
      <c r="C180" s="40" t="str">
        <f aca="false">IF($H180="","",INDEX(Задачи!$B$1:$B$501,$H180)&amp;"")</f>
        <v/>
      </c>
      <c r="D180" s="39" t="str">
        <f aca="false">IF($H180="","",INDEX(Задачи!$C$1:$C$501,$H180)&amp;"")</f>
        <v/>
      </c>
      <c r="E180" s="41" t="str">
        <f aca="false">IF($H180="","",IF(INDEX(Задачи!$E$1:$E$501,$H180)="","",INDEX(Задачи!$E$1:$E$501,$H180)))</f>
        <v/>
      </c>
      <c r="F180" s="41" t="str">
        <f aca="false">IF($H180="","",IF(INDEX(Задачи!$F$1:$F$501,$H180)="","",INDEX(Задачи!$F$1:$F$501,$H180)))</f>
        <v/>
      </c>
      <c r="G180" s="40" t="str">
        <f aca="false">IF($H180="","",INDEX(Задачи!$I$1:$I$501,$H180)&amp;"")</f>
        <v/>
      </c>
      <c r="H180" s="20" t="str">
        <f aca="false">IFERROR(MOD(LARGE(Задачи!$P$2:$P$501,ROWS(H$5:H180)),1000),"")</f>
        <v/>
      </c>
    </row>
    <row r="181" customFormat="false" ht="30" hidden="false" customHeight="true" outlineLevel="0" collapsed="false">
      <c r="A181" s="39" t="str">
        <f aca="false">IF($H181="","",ROWS(A$5:A181))</f>
        <v/>
      </c>
      <c r="B181" s="40" t="str">
        <f aca="false">IF($H181="","",INDEX(Задачи!$A$1:$A$501,$H181)&amp;"")</f>
        <v/>
      </c>
      <c r="C181" s="40" t="str">
        <f aca="false">IF($H181="","",INDEX(Задачи!$B$1:$B$501,$H181)&amp;"")</f>
        <v/>
      </c>
      <c r="D181" s="39" t="str">
        <f aca="false">IF($H181="","",INDEX(Задачи!$C$1:$C$501,$H181)&amp;"")</f>
        <v/>
      </c>
      <c r="E181" s="41" t="str">
        <f aca="false">IF($H181="","",IF(INDEX(Задачи!$E$1:$E$501,$H181)="","",INDEX(Задачи!$E$1:$E$501,$H181)))</f>
        <v/>
      </c>
      <c r="F181" s="41" t="str">
        <f aca="false">IF($H181="","",IF(INDEX(Задачи!$F$1:$F$501,$H181)="","",INDEX(Задачи!$F$1:$F$501,$H181)))</f>
        <v/>
      </c>
      <c r="G181" s="40" t="str">
        <f aca="false">IF($H181="","",INDEX(Задачи!$I$1:$I$501,$H181)&amp;"")</f>
        <v/>
      </c>
      <c r="H181" s="20" t="str">
        <f aca="false">IFERROR(MOD(LARGE(Задачи!$P$2:$P$501,ROWS(H$5:H181)),1000),"")</f>
        <v/>
      </c>
    </row>
    <row r="182" customFormat="false" ht="30" hidden="false" customHeight="true" outlineLevel="0" collapsed="false">
      <c r="A182" s="39" t="str">
        <f aca="false">IF($H182="","",ROWS(A$5:A182))</f>
        <v/>
      </c>
      <c r="B182" s="40" t="str">
        <f aca="false">IF($H182="","",INDEX(Задачи!$A$1:$A$501,$H182)&amp;"")</f>
        <v/>
      </c>
      <c r="C182" s="40" t="str">
        <f aca="false">IF($H182="","",INDEX(Задачи!$B$1:$B$501,$H182)&amp;"")</f>
        <v/>
      </c>
      <c r="D182" s="39" t="str">
        <f aca="false">IF($H182="","",INDEX(Задачи!$C$1:$C$501,$H182)&amp;"")</f>
        <v/>
      </c>
      <c r="E182" s="41" t="str">
        <f aca="false">IF($H182="","",IF(INDEX(Задачи!$E$1:$E$501,$H182)="","",INDEX(Задачи!$E$1:$E$501,$H182)))</f>
        <v/>
      </c>
      <c r="F182" s="41" t="str">
        <f aca="false">IF($H182="","",IF(INDEX(Задачи!$F$1:$F$501,$H182)="","",INDEX(Задачи!$F$1:$F$501,$H182)))</f>
        <v/>
      </c>
      <c r="G182" s="40" t="str">
        <f aca="false">IF($H182="","",INDEX(Задачи!$I$1:$I$501,$H182)&amp;"")</f>
        <v/>
      </c>
      <c r="H182" s="20" t="str">
        <f aca="false">IFERROR(MOD(LARGE(Задачи!$P$2:$P$501,ROWS(H$5:H182)),1000),"")</f>
        <v/>
      </c>
    </row>
    <row r="183" customFormat="false" ht="30" hidden="false" customHeight="true" outlineLevel="0" collapsed="false">
      <c r="A183" s="39" t="str">
        <f aca="false">IF($H183="","",ROWS(A$5:A183))</f>
        <v/>
      </c>
      <c r="B183" s="40" t="str">
        <f aca="false">IF($H183="","",INDEX(Задачи!$A$1:$A$501,$H183)&amp;"")</f>
        <v/>
      </c>
      <c r="C183" s="40" t="str">
        <f aca="false">IF($H183="","",INDEX(Задачи!$B$1:$B$501,$H183)&amp;"")</f>
        <v/>
      </c>
      <c r="D183" s="39" t="str">
        <f aca="false">IF($H183="","",INDEX(Задачи!$C$1:$C$501,$H183)&amp;"")</f>
        <v/>
      </c>
      <c r="E183" s="41" t="str">
        <f aca="false">IF($H183="","",IF(INDEX(Задачи!$E$1:$E$501,$H183)="","",INDEX(Задачи!$E$1:$E$501,$H183)))</f>
        <v/>
      </c>
      <c r="F183" s="41" t="str">
        <f aca="false">IF($H183="","",IF(INDEX(Задачи!$F$1:$F$501,$H183)="","",INDEX(Задачи!$F$1:$F$501,$H183)))</f>
        <v/>
      </c>
      <c r="G183" s="40" t="str">
        <f aca="false">IF($H183="","",INDEX(Задачи!$I$1:$I$501,$H183)&amp;"")</f>
        <v/>
      </c>
      <c r="H183" s="20" t="str">
        <f aca="false">IFERROR(MOD(LARGE(Задачи!$P$2:$P$501,ROWS(H$5:H183)),1000),"")</f>
        <v/>
      </c>
    </row>
    <row r="184" customFormat="false" ht="30" hidden="false" customHeight="true" outlineLevel="0" collapsed="false">
      <c r="A184" s="39" t="str">
        <f aca="false">IF($H184="","",ROWS(A$5:A184))</f>
        <v/>
      </c>
      <c r="B184" s="40" t="str">
        <f aca="false">IF($H184="","",INDEX(Задачи!$A$1:$A$501,$H184)&amp;"")</f>
        <v/>
      </c>
      <c r="C184" s="40" t="str">
        <f aca="false">IF($H184="","",INDEX(Задачи!$B$1:$B$501,$H184)&amp;"")</f>
        <v/>
      </c>
      <c r="D184" s="39" t="str">
        <f aca="false">IF($H184="","",INDEX(Задачи!$C$1:$C$501,$H184)&amp;"")</f>
        <v/>
      </c>
      <c r="E184" s="41" t="str">
        <f aca="false">IF($H184="","",IF(INDEX(Задачи!$E$1:$E$501,$H184)="","",INDEX(Задачи!$E$1:$E$501,$H184)))</f>
        <v/>
      </c>
      <c r="F184" s="41" t="str">
        <f aca="false">IF($H184="","",IF(INDEX(Задачи!$F$1:$F$501,$H184)="","",INDEX(Задачи!$F$1:$F$501,$H184)))</f>
        <v/>
      </c>
      <c r="G184" s="40" t="str">
        <f aca="false">IF($H184="","",INDEX(Задачи!$I$1:$I$501,$H184)&amp;"")</f>
        <v/>
      </c>
      <c r="H184" s="20" t="str">
        <f aca="false">IFERROR(MOD(LARGE(Задачи!$P$2:$P$501,ROWS(H$5:H184)),1000),"")</f>
        <v/>
      </c>
    </row>
    <row r="185" customFormat="false" ht="30" hidden="false" customHeight="true" outlineLevel="0" collapsed="false">
      <c r="A185" s="39" t="str">
        <f aca="false">IF($H185="","",ROWS(A$5:A185))</f>
        <v/>
      </c>
      <c r="B185" s="40" t="str">
        <f aca="false">IF($H185="","",INDEX(Задачи!$A$1:$A$501,$H185)&amp;"")</f>
        <v/>
      </c>
      <c r="C185" s="40" t="str">
        <f aca="false">IF($H185="","",INDEX(Задачи!$B$1:$B$501,$H185)&amp;"")</f>
        <v/>
      </c>
      <c r="D185" s="39" t="str">
        <f aca="false">IF($H185="","",INDEX(Задачи!$C$1:$C$501,$H185)&amp;"")</f>
        <v/>
      </c>
      <c r="E185" s="41" t="str">
        <f aca="false">IF($H185="","",IF(INDEX(Задачи!$E$1:$E$501,$H185)="","",INDEX(Задачи!$E$1:$E$501,$H185)))</f>
        <v/>
      </c>
      <c r="F185" s="41" t="str">
        <f aca="false">IF($H185="","",IF(INDEX(Задачи!$F$1:$F$501,$H185)="","",INDEX(Задачи!$F$1:$F$501,$H185)))</f>
        <v/>
      </c>
      <c r="G185" s="40" t="str">
        <f aca="false">IF($H185="","",INDEX(Задачи!$I$1:$I$501,$H185)&amp;"")</f>
        <v/>
      </c>
      <c r="H185" s="20" t="str">
        <f aca="false">IFERROR(MOD(LARGE(Задачи!$P$2:$P$501,ROWS(H$5:H185)),1000),"")</f>
        <v/>
      </c>
    </row>
    <row r="186" customFormat="false" ht="30" hidden="false" customHeight="true" outlineLevel="0" collapsed="false">
      <c r="A186" s="39" t="str">
        <f aca="false">IF($H186="","",ROWS(A$5:A186))</f>
        <v/>
      </c>
      <c r="B186" s="40" t="str">
        <f aca="false">IF($H186="","",INDEX(Задачи!$A$1:$A$501,$H186)&amp;"")</f>
        <v/>
      </c>
      <c r="C186" s="40" t="str">
        <f aca="false">IF($H186="","",INDEX(Задачи!$B$1:$B$501,$H186)&amp;"")</f>
        <v/>
      </c>
      <c r="D186" s="39" t="str">
        <f aca="false">IF($H186="","",INDEX(Задачи!$C$1:$C$501,$H186)&amp;"")</f>
        <v/>
      </c>
      <c r="E186" s="41" t="str">
        <f aca="false">IF($H186="","",IF(INDEX(Задачи!$E$1:$E$501,$H186)="","",INDEX(Задачи!$E$1:$E$501,$H186)))</f>
        <v/>
      </c>
      <c r="F186" s="41" t="str">
        <f aca="false">IF($H186="","",IF(INDEX(Задачи!$F$1:$F$501,$H186)="","",INDEX(Задачи!$F$1:$F$501,$H186)))</f>
        <v/>
      </c>
      <c r="G186" s="40" t="str">
        <f aca="false">IF($H186="","",INDEX(Задачи!$I$1:$I$501,$H186)&amp;"")</f>
        <v/>
      </c>
      <c r="H186" s="20" t="str">
        <f aca="false">IFERROR(MOD(LARGE(Задачи!$P$2:$P$501,ROWS(H$5:H186)),1000),"")</f>
        <v/>
      </c>
    </row>
    <row r="187" customFormat="false" ht="30" hidden="false" customHeight="true" outlineLevel="0" collapsed="false">
      <c r="A187" s="39" t="str">
        <f aca="false">IF($H187="","",ROWS(A$5:A187))</f>
        <v/>
      </c>
      <c r="B187" s="40" t="str">
        <f aca="false">IF($H187="","",INDEX(Задачи!$A$1:$A$501,$H187)&amp;"")</f>
        <v/>
      </c>
      <c r="C187" s="40" t="str">
        <f aca="false">IF($H187="","",INDEX(Задачи!$B$1:$B$501,$H187)&amp;"")</f>
        <v/>
      </c>
      <c r="D187" s="39" t="str">
        <f aca="false">IF($H187="","",INDEX(Задачи!$C$1:$C$501,$H187)&amp;"")</f>
        <v/>
      </c>
      <c r="E187" s="41" t="str">
        <f aca="false">IF($H187="","",IF(INDEX(Задачи!$E$1:$E$501,$H187)="","",INDEX(Задачи!$E$1:$E$501,$H187)))</f>
        <v/>
      </c>
      <c r="F187" s="41" t="str">
        <f aca="false">IF($H187="","",IF(INDEX(Задачи!$F$1:$F$501,$H187)="","",INDEX(Задачи!$F$1:$F$501,$H187)))</f>
        <v/>
      </c>
      <c r="G187" s="40" t="str">
        <f aca="false">IF($H187="","",INDEX(Задачи!$I$1:$I$501,$H187)&amp;"")</f>
        <v/>
      </c>
      <c r="H187" s="20" t="str">
        <f aca="false">IFERROR(MOD(LARGE(Задачи!$P$2:$P$501,ROWS(H$5:H187)),1000),"")</f>
        <v/>
      </c>
    </row>
    <row r="188" customFormat="false" ht="30" hidden="false" customHeight="true" outlineLevel="0" collapsed="false">
      <c r="A188" s="39" t="str">
        <f aca="false">IF($H188="","",ROWS(A$5:A188))</f>
        <v/>
      </c>
      <c r="B188" s="40" t="str">
        <f aca="false">IF($H188="","",INDEX(Задачи!$A$1:$A$501,$H188)&amp;"")</f>
        <v/>
      </c>
      <c r="C188" s="40" t="str">
        <f aca="false">IF($H188="","",INDEX(Задачи!$B$1:$B$501,$H188)&amp;"")</f>
        <v/>
      </c>
      <c r="D188" s="39" t="str">
        <f aca="false">IF($H188="","",INDEX(Задачи!$C$1:$C$501,$H188)&amp;"")</f>
        <v/>
      </c>
      <c r="E188" s="41" t="str">
        <f aca="false">IF($H188="","",IF(INDEX(Задачи!$E$1:$E$501,$H188)="","",INDEX(Задачи!$E$1:$E$501,$H188)))</f>
        <v/>
      </c>
      <c r="F188" s="41" t="str">
        <f aca="false">IF($H188="","",IF(INDEX(Задачи!$F$1:$F$501,$H188)="","",INDEX(Задачи!$F$1:$F$501,$H188)))</f>
        <v/>
      </c>
      <c r="G188" s="40" t="str">
        <f aca="false">IF($H188="","",INDEX(Задачи!$I$1:$I$501,$H188)&amp;"")</f>
        <v/>
      </c>
      <c r="H188" s="20" t="str">
        <f aca="false">IFERROR(MOD(LARGE(Задачи!$P$2:$P$501,ROWS(H$5:H188)),1000),"")</f>
        <v/>
      </c>
    </row>
    <row r="189" customFormat="false" ht="30" hidden="false" customHeight="true" outlineLevel="0" collapsed="false">
      <c r="A189" s="39" t="str">
        <f aca="false">IF($H189="","",ROWS(A$5:A189))</f>
        <v/>
      </c>
      <c r="B189" s="40" t="str">
        <f aca="false">IF($H189="","",INDEX(Задачи!$A$1:$A$501,$H189)&amp;"")</f>
        <v/>
      </c>
      <c r="C189" s="40" t="str">
        <f aca="false">IF($H189="","",INDEX(Задачи!$B$1:$B$501,$H189)&amp;"")</f>
        <v/>
      </c>
      <c r="D189" s="39" t="str">
        <f aca="false">IF($H189="","",INDEX(Задачи!$C$1:$C$501,$H189)&amp;"")</f>
        <v/>
      </c>
      <c r="E189" s="41" t="str">
        <f aca="false">IF($H189="","",IF(INDEX(Задачи!$E$1:$E$501,$H189)="","",INDEX(Задачи!$E$1:$E$501,$H189)))</f>
        <v/>
      </c>
      <c r="F189" s="41" t="str">
        <f aca="false">IF($H189="","",IF(INDEX(Задачи!$F$1:$F$501,$H189)="","",INDEX(Задачи!$F$1:$F$501,$H189)))</f>
        <v/>
      </c>
      <c r="G189" s="40" t="str">
        <f aca="false">IF($H189="","",INDEX(Задачи!$I$1:$I$501,$H189)&amp;"")</f>
        <v/>
      </c>
      <c r="H189" s="20" t="str">
        <f aca="false">IFERROR(MOD(LARGE(Задачи!$P$2:$P$501,ROWS(H$5:H189)),1000),"")</f>
        <v/>
      </c>
    </row>
    <row r="190" customFormat="false" ht="30" hidden="false" customHeight="true" outlineLevel="0" collapsed="false">
      <c r="A190" s="39" t="str">
        <f aca="false">IF($H190="","",ROWS(A$5:A190))</f>
        <v/>
      </c>
      <c r="B190" s="40" t="str">
        <f aca="false">IF($H190="","",INDEX(Задачи!$A$1:$A$501,$H190)&amp;"")</f>
        <v/>
      </c>
      <c r="C190" s="40" t="str">
        <f aca="false">IF($H190="","",INDEX(Задачи!$B$1:$B$501,$H190)&amp;"")</f>
        <v/>
      </c>
      <c r="D190" s="39" t="str">
        <f aca="false">IF($H190="","",INDEX(Задачи!$C$1:$C$501,$H190)&amp;"")</f>
        <v/>
      </c>
      <c r="E190" s="41" t="str">
        <f aca="false">IF($H190="","",IF(INDEX(Задачи!$E$1:$E$501,$H190)="","",INDEX(Задачи!$E$1:$E$501,$H190)))</f>
        <v/>
      </c>
      <c r="F190" s="41" t="str">
        <f aca="false">IF($H190="","",IF(INDEX(Задачи!$F$1:$F$501,$H190)="","",INDEX(Задачи!$F$1:$F$501,$H190)))</f>
        <v/>
      </c>
      <c r="G190" s="40" t="str">
        <f aca="false">IF($H190="","",INDEX(Задачи!$I$1:$I$501,$H190)&amp;"")</f>
        <v/>
      </c>
      <c r="H190" s="20" t="str">
        <f aca="false">IFERROR(MOD(LARGE(Задачи!$P$2:$P$501,ROWS(H$5:H190)),1000),"")</f>
        <v/>
      </c>
    </row>
    <row r="191" customFormat="false" ht="30" hidden="false" customHeight="true" outlineLevel="0" collapsed="false">
      <c r="A191" s="39" t="str">
        <f aca="false">IF($H191="","",ROWS(A$5:A191))</f>
        <v/>
      </c>
      <c r="B191" s="40" t="str">
        <f aca="false">IF($H191="","",INDEX(Задачи!$A$1:$A$501,$H191)&amp;"")</f>
        <v/>
      </c>
      <c r="C191" s="40" t="str">
        <f aca="false">IF($H191="","",INDEX(Задачи!$B$1:$B$501,$H191)&amp;"")</f>
        <v/>
      </c>
      <c r="D191" s="39" t="str">
        <f aca="false">IF($H191="","",INDEX(Задачи!$C$1:$C$501,$H191)&amp;"")</f>
        <v/>
      </c>
      <c r="E191" s="41" t="str">
        <f aca="false">IF($H191="","",IF(INDEX(Задачи!$E$1:$E$501,$H191)="","",INDEX(Задачи!$E$1:$E$501,$H191)))</f>
        <v/>
      </c>
      <c r="F191" s="41" t="str">
        <f aca="false">IF($H191="","",IF(INDEX(Задачи!$F$1:$F$501,$H191)="","",INDEX(Задачи!$F$1:$F$501,$H191)))</f>
        <v/>
      </c>
      <c r="G191" s="40" t="str">
        <f aca="false">IF($H191="","",INDEX(Задачи!$I$1:$I$501,$H191)&amp;"")</f>
        <v/>
      </c>
      <c r="H191" s="20" t="str">
        <f aca="false">IFERROR(MOD(LARGE(Задачи!$P$2:$P$501,ROWS(H$5:H191)),1000),"")</f>
        <v/>
      </c>
    </row>
    <row r="192" customFormat="false" ht="30" hidden="false" customHeight="true" outlineLevel="0" collapsed="false">
      <c r="A192" s="39" t="str">
        <f aca="false">IF($H192="","",ROWS(A$5:A192))</f>
        <v/>
      </c>
      <c r="B192" s="40" t="str">
        <f aca="false">IF($H192="","",INDEX(Задачи!$A$1:$A$501,$H192)&amp;"")</f>
        <v/>
      </c>
      <c r="C192" s="40" t="str">
        <f aca="false">IF($H192="","",INDEX(Задачи!$B$1:$B$501,$H192)&amp;"")</f>
        <v/>
      </c>
      <c r="D192" s="39" t="str">
        <f aca="false">IF($H192="","",INDEX(Задачи!$C$1:$C$501,$H192)&amp;"")</f>
        <v/>
      </c>
      <c r="E192" s="41" t="str">
        <f aca="false">IF($H192="","",IF(INDEX(Задачи!$E$1:$E$501,$H192)="","",INDEX(Задачи!$E$1:$E$501,$H192)))</f>
        <v/>
      </c>
      <c r="F192" s="41" t="str">
        <f aca="false">IF($H192="","",IF(INDEX(Задачи!$F$1:$F$501,$H192)="","",INDEX(Задачи!$F$1:$F$501,$H192)))</f>
        <v/>
      </c>
      <c r="G192" s="40" t="str">
        <f aca="false">IF($H192="","",INDEX(Задачи!$I$1:$I$501,$H192)&amp;"")</f>
        <v/>
      </c>
      <c r="H192" s="20" t="str">
        <f aca="false">IFERROR(MOD(LARGE(Задачи!$P$2:$P$501,ROWS(H$5:H192)),1000),"")</f>
        <v/>
      </c>
    </row>
    <row r="193" customFormat="false" ht="30" hidden="false" customHeight="true" outlineLevel="0" collapsed="false">
      <c r="A193" s="39" t="str">
        <f aca="false">IF($H193="","",ROWS(A$5:A193))</f>
        <v/>
      </c>
      <c r="B193" s="40" t="str">
        <f aca="false">IF($H193="","",INDEX(Задачи!$A$1:$A$501,$H193)&amp;"")</f>
        <v/>
      </c>
      <c r="C193" s="40" t="str">
        <f aca="false">IF($H193="","",INDEX(Задачи!$B$1:$B$501,$H193)&amp;"")</f>
        <v/>
      </c>
      <c r="D193" s="39" t="str">
        <f aca="false">IF($H193="","",INDEX(Задачи!$C$1:$C$501,$H193)&amp;"")</f>
        <v/>
      </c>
      <c r="E193" s="41" t="str">
        <f aca="false">IF($H193="","",IF(INDEX(Задачи!$E$1:$E$501,$H193)="","",INDEX(Задачи!$E$1:$E$501,$H193)))</f>
        <v/>
      </c>
      <c r="F193" s="41" t="str">
        <f aca="false">IF($H193="","",IF(INDEX(Задачи!$F$1:$F$501,$H193)="","",INDEX(Задачи!$F$1:$F$501,$H193)))</f>
        <v/>
      </c>
      <c r="G193" s="40" t="str">
        <f aca="false">IF($H193="","",INDEX(Задачи!$I$1:$I$501,$H193)&amp;"")</f>
        <v/>
      </c>
      <c r="H193" s="20" t="str">
        <f aca="false">IFERROR(MOD(LARGE(Задачи!$P$2:$P$501,ROWS(H$5:H193)),1000),"")</f>
        <v/>
      </c>
    </row>
    <row r="194" customFormat="false" ht="30" hidden="false" customHeight="true" outlineLevel="0" collapsed="false">
      <c r="A194" s="39" t="str">
        <f aca="false">IF($H194="","",ROWS(A$5:A194))</f>
        <v/>
      </c>
      <c r="B194" s="40" t="str">
        <f aca="false">IF($H194="","",INDEX(Задачи!$A$1:$A$501,$H194)&amp;"")</f>
        <v/>
      </c>
      <c r="C194" s="40" t="str">
        <f aca="false">IF($H194="","",INDEX(Задачи!$B$1:$B$501,$H194)&amp;"")</f>
        <v/>
      </c>
      <c r="D194" s="39" t="str">
        <f aca="false">IF($H194="","",INDEX(Задачи!$C$1:$C$501,$H194)&amp;"")</f>
        <v/>
      </c>
      <c r="E194" s="41" t="str">
        <f aca="false">IF($H194="","",IF(INDEX(Задачи!$E$1:$E$501,$H194)="","",INDEX(Задачи!$E$1:$E$501,$H194)))</f>
        <v/>
      </c>
      <c r="F194" s="41" t="str">
        <f aca="false">IF($H194="","",IF(INDEX(Задачи!$F$1:$F$501,$H194)="","",INDEX(Задачи!$F$1:$F$501,$H194)))</f>
        <v/>
      </c>
      <c r="G194" s="40" t="str">
        <f aca="false">IF($H194="","",INDEX(Задачи!$I$1:$I$501,$H194)&amp;"")</f>
        <v/>
      </c>
      <c r="H194" s="20" t="str">
        <f aca="false">IFERROR(MOD(LARGE(Задачи!$P$2:$P$501,ROWS(H$5:H194)),1000),"")</f>
        <v/>
      </c>
    </row>
    <row r="195" customFormat="false" ht="30" hidden="false" customHeight="true" outlineLevel="0" collapsed="false">
      <c r="A195" s="39" t="str">
        <f aca="false">IF($H195="","",ROWS(A$5:A195))</f>
        <v/>
      </c>
      <c r="B195" s="40" t="str">
        <f aca="false">IF($H195="","",INDEX(Задачи!$A$1:$A$501,$H195)&amp;"")</f>
        <v/>
      </c>
      <c r="C195" s="40" t="str">
        <f aca="false">IF($H195="","",INDEX(Задачи!$B$1:$B$501,$H195)&amp;"")</f>
        <v/>
      </c>
      <c r="D195" s="39" t="str">
        <f aca="false">IF($H195="","",INDEX(Задачи!$C$1:$C$501,$H195)&amp;"")</f>
        <v/>
      </c>
      <c r="E195" s="41" t="str">
        <f aca="false">IF($H195="","",IF(INDEX(Задачи!$E$1:$E$501,$H195)="","",INDEX(Задачи!$E$1:$E$501,$H195)))</f>
        <v/>
      </c>
      <c r="F195" s="41" t="str">
        <f aca="false">IF($H195="","",IF(INDEX(Задачи!$F$1:$F$501,$H195)="","",INDEX(Задачи!$F$1:$F$501,$H195)))</f>
        <v/>
      </c>
      <c r="G195" s="40" t="str">
        <f aca="false">IF($H195="","",INDEX(Задачи!$I$1:$I$501,$H195)&amp;"")</f>
        <v/>
      </c>
      <c r="H195" s="20" t="str">
        <f aca="false">IFERROR(MOD(LARGE(Задачи!$P$2:$P$501,ROWS(H$5:H195)),1000),"")</f>
        <v/>
      </c>
    </row>
    <row r="196" customFormat="false" ht="30" hidden="false" customHeight="true" outlineLevel="0" collapsed="false">
      <c r="A196" s="39" t="str">
        <f aca="false">IF($H196="","",ROWS(A$5:A196))</f>
        <v/>
      </c>
      <c r="B196" s="40" t="str">
        <f aca="false">IF($H196="","",INDEX(Задачи!$A$1:$A$501,$H196)&amp;"")</f>
        <v/>
      </c>
      <c r="C196" s="40" t="str">
        <f aca="false">IF($H196="","",INDEX(Задачи!$B$1:$B$501,$H196)&amp;"")</f>
        <v/>
      </c>
      <c r="D196" s="39" t="str">
        <f aca="false">IF($H196="","",INDEX(Задачи!$C$1:$C$501,$H196)&amp;"")</f>
        <v/>
      </c>
      <c r="E196" s="41" t="str">
        <f aca="false">IF($H196="","",IF(INDEX(Задачи!$E$1:$E$501,$H196)="","",INDEX(Задачи!$E$1:$E$501,$H196)))</f>
        <v/>
      </c>
      <c r="F196" s="41" t="str">
        <f aca="false">IF($H196="","",IF(INDEX(Задачи!$F$1:$F$501,$H196)="","",INDEX(Задачи!$F$1:$F$501,$H196)))</f>
        <v/>
      </c>
      <c r="G196" s="40" t="str">
        <f aca="false">IF($H196="","",INDEX(Задачи!$I$1:$I$501,$H196)&amp;"")</f>
        <v/>
      </c>
      <c r="H196" s="20" t="str">
        <f aca="false">IFERROR(MOD(LARGE(Задачи!$P$2:$P$501,ROWS(H$5:H196)),1000),"")</f>
        <v/>
      </c>
    </row>
    <row r="197" customFormat="false" ht="30" hidden="false" customHeight="true" outlineLevel="0" collapsed="false">
      <c r="A197" s="39" t="str">
        <f aca="false">IF($H197="","",ROWS(A$5:A197))</f>
        <v/>
      </c>
      <c r="B197" s="40" t="str">
        <f aca="false">IF($H197="","",INDEX(Задачи!$A$1:$A$501,$H197)&amp;"")</f>
        <v/>
      </c>
      <c r="C197" s="40" t="str">
        <f aca="false">IF($H197="","",INDEX(Задачи!$B$1:$B$501,$H197)&amp;"")</f>
        <v/>
      </c>
      <c r="D197" s="39" t="str">
        <f aca="false">IF($H197="","",INDEX(Задачи!$C$1:$C$501,$H197)&amp;"")</f>
        <v/>
      </c>
      <c r="E197" s="41" t="str">
        <f aca="false">IF($H197="","",IF(INDEX(Задачи!$E$1:$E$501,$H197)="","",INDEX(Задачи!$E$1:$E$501,$H197)))</f>
        <v/>
      </c>
      <c r="F197" s="41" t="str">
        <f aca="false">IF($H197="","",IF(INDEX(Задачи!$F$1:$F$501,$H197)="","",INDEX(Задачи!$F$1:$F$501,$H197)))</f>
        <v/>
      </c>
      <c r="G197" s="40" t="str">
        <f aca="false">IF($H197="","",INDEX(Задачи!$I$1:$I$501,$H197)&amp;"")</f>
        <v/>
      </c>
      <c r="H197" s="20" t="str">
        <f aca="false">IFERROR(MOD(LARGE(Задачи!$P$2:$P$501,ROWS(H$5:H197)),1000),"")</f>
        <v/>
      </c>
    </row>
    <row r="198" customFormat="false" ht="30" hidden="false" customHeight="true" outlineLevel="0" collapsed="false">
      <c r="A198" s="39" t="str">
        <f aca="false">IF($H198="","",ROWS(A$5:A198))</f>
        <v/>
      </c>
      <c r="B198" s="40" t="str">
        <f aca="false">IF($H198="","",INDEX(Задачи!$A$1:$A$501,$H198)&amp;"")</f>
        <v/>
      </c>
      <c r="C198" s="40" t="str">
        <f aca="false">IF($H198="","",INDEX(Задачи!$B$1:$B$501,$H198)&amp;"")</f>
        <v/>
      </c>
      <c r="D198" s="39" t="str">
        <f aca="false">IF($H198="","",INDEX(Задачи!$C$1:$C$501,$H198)&amp;"")</f>
        <v/>
      </c>
      <c r="E198" s="41" t="str">
        <f aca="false">IF($H198="","",IF(INDEX(Задачи!$E$1:$E$501,$H198)="","",INDEX(Задачи!$E$1:$E$501,$H198)))</f>
        <v/>
      </c>
      <c r="F198" s="41" t="str">
        <f aca="false">IF($H198="","",IF(INDEX(Задачи!$F$1:$F$501,$H198)="","",INDEX(Задачи!$F$1:$F$501,$H198)))</f>
        <v/>
      </c>
      <c r="G198" s="40" t="str">
        <f aca="false">IF($H198="","",INDEX(Задачи!$I$1:$I$501,$H198)&amp;"")</f>
        <v/>
      </c>
      <c r="H198" s="20" t="str">
        <f aca="false">IFERROR(MOD(LARGE(Задачи!$P$2:$P$501,ROWS(H$5:H198)),1000),"")</f>
        <v/>
      </c>
    </row>
    <row r="199" customFormat="false" ht="30" hidden="false" customHeight="true" outlineLevel="0" collapsed="false">
      <c r="A199" s="39" t="str">
        <f aca="false">IF($H199="","",ROWS(A$5:A199))</f>
        <v/>
      </c>
      <c r="B199" s="40" t="str">
        <f aca="false">IF($H199="","",INDEX(Задачи!$A$1:$A$501,$H199)&amp;"")</f>
        <v/>
      </c>
      <c r="C199" s="40" t="str">
        <f aca="false">IF($H199="","",INDEX(Задачи!$B$1:$B$501,$H199)&amp;"")</f>
        <v/>
      </c>
      <c r="D199" s="39" t="str">
        <f aca="false">IF($H199="","",INDEX(Задачи!$C$1:$C$501,$H199)&amp;"")</f>
        <v/>
      </c>
      <c r="E199" s="41" t="str">
        <f aca="false">IF($H199="","",IF(INDEX(Задачи!$E$1:$E$501,$H199)="","",INDEX(Задачи!$E$1:$E$501,$H199)))</f>
        <v/>
      </c>
      <c r="F199" s="41" t="str">
        <f aca="false">IF($H199="","",IF(INDEX(Задачи!$F$1:$F$501,$H199)="","",INDEX(Задачи!$F$1:$F$501,$H199)))</f>
        <v/>
      </c>
      <c r="G199" s="40" t="str">
        <f aca="false">IF($H199="","",INDEX(Задачи!$I$1:$I$501,$H199)&amp;"")</f>
        <v/>
      </c>
      <c r="H199" s="20" t="str">
        <f aca="false">IFERROR(MOD(LARGE(Задачи!$P$2:$P$501,ROWS(H$5:H199)),1000),"")</f>
        <v/>
      </c>
    </row>
    <row r="200" customFormat="false" ht="30" hidden="false" customHeight="true" outlineLevel="0" collapsed="false">
      <c r="A200" s="39" t="str">
        <f aca="false">IF($H200="","",ROWS(A$5:A200))</f>
        <v/>
      </c>
      <c r="B200" s="40" t="str">
        <f aca="false">IF($H200="","",INDEX(Задачи!$A$1:$A$501,$H200)&amp;"")</f>
        <v/>
      </c>
      <c r="C200" s="40" t="str">
        <f aca="false">IF($H200="","",INDEX(Задачи!$B$1:$B$501,$H200)&amp;"")</f>
        <v/>
      </c>
      <c r="D200" s="39" t="str">
        <f aca="false">IF($H200="","",INDEX(Задачи!$C$1:$C$501,$H200)&amp;"")</f>
        <v/>
      </c>
      <c r="E200" s="41" t="str">
        <f aca="false">IF($H200="","",IF(INDEX(Задачи!$E$1:$E$501,$H200)="","",INDEX(Задачи!$E$1:$E$501,$H200)))</f>
        <v/>
      </c>
      <c r="F200" s="41" t="str">
        <f aca="false">IF($H200="","",IF(INDEX(Задачи!$F$1:$F$501,$H200)="","",INDEX(Задачи!$F$1:$F$501,$H200)))</f>
        <v/>
      </c>
      <c r="G200" s="40" t="str">
        <f aca="false">IF($H200="","",INDEX(Задачи!$I$1:$I$501,$H200)&amp;"")</f>
        <v/>
      </c>
      <c r="H200" s="20" t="str">
        <f aca="false">IFERROR(MOD(LARGE(Задачи!$P$2:$P$501,ROWS(H$5:H200)),1000),"")</f>
        <v/>
      </c>
    </row>
    <row r="201" customFormat="false" ht="30" hidden="false" customHeight="true" outlineLevel="0" collapsed="false">
      <c r="A201" s="39" t="str">
        <f aca="false">IF($H201="","",ROWS(A$5:A201))</f>
        <v/>
      </c>
      <c r="B201" s="40" t="str">
        <f aca="false">IF($H201="","",INDEX(Задачи!$A$1:$A$501,$H201)&amp;"")</f>
        <v/>
      </c>
      <c r="C201" s="40" t="str">
        <f aca="false">IF($H201="","",INDEX(Задачи!$B$1:$B$501,$H201)&amp;"")</f>
        <v/>
      </c>
      <c r="D201" s="39" t="str">
        <f aca="false">IF($H201="","",INDEX(Задачи!$C$1:$C$501,$H201)&amp;"")</f>
        <v/>
      </c>
      <c r="E201" s="41" t="str">
        <f aca="false">IF($H201="","",IF(INDEX(Задачи!$E$1:$E$501,$H201)="","",INDEX(Задачи!$E$1:$E$501,$H201)))</f>
        <v/>
      </c>
      <c r="F201" s="41" t="str">
        <f aca="false">IF($H201="","",IF(INDEX(Задачи!$F$1:$F$501,$H201)="","",INDEX(Задачи!$F$1:$F$501,$H201)))</f>
        <v/>
      </c>
      <c r="G201" s="40" t="str">
        <f aca="false">IF($H201="","",INDEX(Задачи!$I$1:$I$501,$H201)&amp;"")</f>
        <v/>
      </c>
      <c r="H201" s="20" t="str">
        <f aca="false">IFERROR(MOD(LARGE(Задачи!$P$2:$P$501,ROWS(H$5:H201)),1000),"")</f>
        <v/>
      </c>
    </row>
    <row r="202" customFormat="false" ht="30" hidden="false" customHeight="true" outlineLevel="0" collapsed="false">
      <c r="A202" s="39" t="str">
        <f aca="false">IF($H202="","",ROWS(A$5:A202))</f>
        <v/>
      </c>
      <c r="B202" s="40" t="str">
        <f aca="false">IF($H202="","",INDEX(Задачи!$A$1:$A$501,$H202)&amp;"")</f>
        <v/>
      </c>
      <c r="C202" s="40" t="str">
        <f aca="false">IF($H202="","",INDEX(Задачи!$B$1:$B$501,$H202)&amp;"")</f>
        <v/>
      </c>
      <c r="D202" s="39" t="str">
        <f aca="false">IF($H202="","",INDEX(Задачи!$C$1:$C$501,$H202)&amp;"")</f>
        <v/>
      </c>
      <c r="E202" s="41" t="str">
        <f aca="false">IF($H202="","",IF(INDEX(Задачи!$E$1:$E$501,$H202)="","",INDEX(Задачи!$E$1:$E$501,$H202)))</f>
        <v/>
      </c>
      <c r="F202" s="41" t="str">
        <f aca="false">IF($H202="","",IF(INDEX(Задачи!$F$1:$F$501,$H202)="","",INDEX(Задачи!$F$1:$F$501,$H202)))</f>
        <v/>
      </c>
      <c r="G202" s="40" t="str">
        <f aca="false">IF($H202="","",INDEX(Задачи!$I$1:$I$501,$H202)&amp;"")</f>
        <v/>
      </c>
      <c r="H202" s="20" t="str">
        <f aca="false">IFERROR(MOD(LARGE(Задачи!$P$2:$P$501,ROWS(H$5:H202)),1000),"")</f>
        <v/>
      </c>
    </row>
    <row r="203" customFormat="false" ht="30" hidden="false" customHeight="true" outlineLevel="0" collapsed="false">
      <c r="A203" s="39" t="str">
        <f aca="false">IF($H203="","",ROWS(A$5:A203))</f>
        <v/>
      </c>
      <c r="B203" s="40" t="str">
        <f aca="false">IF($H203="","",INDEX(Задачи!$A$1:$A$501,$H203)&amp;"")</f>
        <v/>
      </c>
      <c r="C203" s="40" t="str">
        <f aca="false">IF($H203="","",INDEX(Задачи!$B$1:$B$501,$H203)&amp;"")</f>
        <v/>
      </c>
      <c r="D203" s="39" t="str">
        <f aca="false">IF($H203="","",INDEX(Задачи!$C$1:$C$501,$H203)&amp;"")</f>
        <v/>
      </c>
      <c r="E203" s="41" t="str">
        <f aca="false">IF($H203="","",IF(INDEX(Задачи!$E$1:$E$501,$H203)="","",INDEX(Задачи!$E$1:$E$501,$H203)))</f>
        <v/>
      </c>
      <c r="F203" s="41" t="str">
        <f aca="false">IF($H203="","",IF(INDEX(Задачи!$F$1:$F$501,$H203)="","",INDEX(Задачи!$F$1:$F$501,$H203)))</f>
        <v/>
      </c>
      <c r="G203" s="40" t="str">
        <f aca="false">IF($H203="","",INDEX(Задачи!$I$1:$I$501,$H203)&amp;"")</f>
        <v/>
      </c>
      <c r="H203" s="20" t="str">
        <f aca="false">IFERROR(MOD(LARGE(Задачи!$P$2:$P$501,ROWS(H$5:H203)),1000),"")</f>
        <v/>
      </c>
    </row>
    <row r="204" customFormat="false" ht="30" hidden="false" customHeight="true" outlineLevel="0" collapsed="false">
      <c r="A204" s="39" t="str">
        <f aca="false">IF($H204="","",ROWS(A$5:A204))</f>
        <v/>
      </c>
      <c r="B204" s="40" t="str">
        <f aca="false">IF($H204="","",INDEX(Задачи!$A$1:$A$501,$H204)&amp;"")</f>
        <v/>
      </c>
      <c r="C204" s="40" t="str">
        <f aca="false">IF($H204="","",INDEX(Задачи!$B$1:$B$501,$H204)&amp;"")</f>
        <v/>
      </c>
      <c r="D204" s="39" t="str">
        <f aca="false">IF($H204="","",INDEX(Задачи!$C$1:$C$501,$H204)&amp;"")</f>
        <v/>
      </c>
      <c r="E204" s="41" t="str">
        <f aca="false">IF($H204="","",IF(INDEX(Задачи!$E$1:$E$501,$H204)="","",INDEX(Задачи!$E$1:$E$501,$H204)))</f>
        <v/>
      </c>
      <c r="F204" s="41" t="str">
        <f aca="false">IF($H204="","",IF(INDEX(Задачи!$F$1:$F$501,$H204)="","",INDEX(Задачи!$F$1:$F$501,$H204)))</f>
        <v/>
      </c>
      <c r="G204" s="40" t="str">
        <f aca="false">IF($H204="","",INDEX(Задачи!$I$1:$I$501,$H204)&amp;"")</f>
        <v/>
      </c>
      <c r="H204" s="20" t="str">
        <f aca="false">IFERROR(MOD(LARGE(Задачи!$P$2:$P$501,ROWS(H$5:H204)),1000),"")</f>
        <v/>
      </c>
    </row>
    <row r="205" customFormat="false" ht="30" hidden="false" customHeight="true" outlineLevel="0" collapsed="false">
      <c r="A205" s="39" t="str">
        <f aca="false">IF($H205="","",ROWS(A$5:A205))</f>
        <v/>
      </c>
      <c r="B205" s="40" t="str">
        <f aca="false">IF($H205="","",INDEX(Задачи!$A$1:$A$501,$H205)&amp;"")</f>
        <v/>
      </c>
      <c r="C205" s="40" t="str">
        <f aca="false">IF($H205="","",INDEX(Задачи!$B$1:$B$501,$H205)&amp;"")</f>
        <v/>
      </c>
      <c r="D205" s="39" t="str">
        <f aca="false">IF($H205="","",INDEX(Задачи!$C$1:$C$501,$H205)&amp;"")</f>
        <v/>
      </c>
      <c r="E205" s="41" t="str">
        <f aca="false">IF($H205="","",IF(INDEX(Задачи!$E$1:$E$501,$H205)="","",INDEX(Задачи!$E$1:$E$501,$H205)))</f>
        <v/>
      </c>
      <c r="F205" s="41" t="str">
        <f aca="false">IF($H205="","",IF(INDEX(Задачи!$F$1:$F$501,$H205)="","",INDEX(Задачи!$F$1:$F$501,$H205)))</f>
        <v/>
      </c>
      <c r="G205" s="40" t="str">
        <f aca="false">IF($H205="","",INDEX(Задачи!$I$1:$I$501,$H205)&amp;"")</f>
        <v/>
      </c>
      <c r="H205" s="20" t="str">
        <f aca="false">IFERROR(MOD(LARGE(Задачи!$P$2:$P$501,ROWS(H$5:H205)),1000),"")</f>
        <v/>
      </c>
    </row>
    <row r="206" customFormat="false" ht="30" hidden="false" customHeight="true" outlineLevel="0" collapsed="false">
      <c r="A206" s="39" t="str">
        <f aca="false">IF($H206="","",ROWS(A$5:A206))</f>
        <v/>
      </c>
      <c r="B206" s="40" t="str">
        <f aca="false">IF($H206="","",INDEX(Задачи!$A$1:$A$501,$H206)&amp;"")</f>
        <v/>
      </c>
      <c r="C206" s="40" t="str">
        <f aca="false">IF($H206="","",INDEX(Задачи!$B$1:$B$501,$H206)&amp;"")</f>
        <v/>
      </c>
      <c r="D206" s="39" t="str">
        <f aca="false">IF($H206="","",INDEX(Задачи!$C$1:$C$501,$H206)&amp;"")</f>
        <v/>
      </c>
      <c r="E206" s="41" t="str">
        <f aca="false">IF($H206="","",IF(INDEX(Задачи!$E$1:$E$501,$H206)="","",INDEX(Задачи!$E$1:$E$501,$H206)))</f>
        <v/>
      </c>
      <c r="F206" s="41" t="str">
        <f aca="false">IF($H206="","",IF(INDEX(Задачи!$F$1:$F$501,$H206)="","",INDEX(Задачи!$F$1:$F$501,$H206)))</f>
        <v/>
      </c>
      <c r="G206" s="40" t="str">
        <f aca="false">IF($H206="","",INDEX(Задачи!$I$1:$I$501,$H206)&amp;"")</f>
        <v/>
      </c>
      <c r="H206" s="20" t="str">
        <f aca="false">IFERROR(MOD(LARGE(Задачи!$P$2:$P$501,ROWS(H$5:H206)),1000),"")</f>
        <v/>
      </c>
    </row>
    <row r="207" customFormat="false" ht="30" hidden="false" customHeight="true" outlineLevel="0" collapsed="false">
      <c r="A207" s="39" t="str">
        <f aca="false">IF($H207="","",ROWS(A$5:A207))</f>
        <v/>
      </c>
      <c r="B207" s="40" t="str">
        <f aca="false">IF($H207="","",INDEX(Задачи!$A$1:$A$501,$H207)&amp;"")</f>
        <v/>
      </c>
      <c r="C207" s="40" t="str">
        <f aca="false">IF($H207="","",INDEX(Задачи!$B$1:$B$501,$H207)&amp;"")</f>
        <v/>
      </c>
      <c r="D207" s="39" t="str">
        <f aca="false">IF($H207="","",INDEX(Задачи!$C$1:$C$501,$H207)&amp;"")</f>
        <v/>
      </c>
      <c r="E207" s="41" t="str">
        <f aca="false">IF($H207="","",IF(INDEX(Задачи!$E$1:$E$501,$H207)="","",INDEX(Задачи!$E$1:$E$501,$H207)))</f>
        <v/>
      </c>
      <c r="F207" s="41" t="str">
        <f aca="false">IF($H207="","",IF(INDEX(Задачи!$F$1:$F$501,$H207)="","",INDEX(Задачи!$F$1:$F$501,$H207)))</f>
        <v/>
      </c>
      <c r="G207" s="40" t="str">
        <f aca="false">IF($H207="","",INDEX(Задачи!$I$1:$I$501,$H207)&amp;"")</f>
        <v/>
      </c>
      <c r="H207" s="20" t="str">
        <f aca="false">IFERROR(MOD(LARGE(Задачи!$P$2:$P$501,ROWS(H$5:H207)),1000),"")</f>
        <v/>
      </c>
    </row>
    <row r="208" customFormat="false" ht="30" hidden="false" customHeight="true" outlineLevel="0" collapsed="false">
      <c r="A208" s="39" t="str">
        <f aca="false">IF($H208="","",ROWS(A$5:A208))</f>
        <v/>
      </c>
      <c r="B208" s="40" t="str">
        <f aca="false">IF($H208="","",INDEX(Задачи!$A$1:$A$501,$H208)&amp;"")</f>
        <v/>
      </c>
      <c r="C208" s="40" t="str">
        <f aca="false">IF($H208="","",INDEX(Задачи!$B$1:$B$501,$H208)&amp;"")</f>
        <v/>
      </c>
      <c r="D208" s="39" t="str">
        <f aca="false">IF($H208="","",INDEX(Задачи!$C$1:$C$501,$H208)&amp;"")</f>
        <v/>
      </c>
      <c r="E208" s="41" t="str">
        <f aca="false">IF($H208="","",IF(INDEX(Задачи!$E$1:$E$501,$H208)="","",INDEX(Задачи!$E$1:$E$501,$H208)))</f>
        <v/>
      </c>
      <c r="F208" s="41" t="str">
        <f aca="false">IF($H208="","",IF(INDEX(Задачи!$F$1:$F$501,$H208)="","",INDEX(Задачи!$F$1:$F$501,$H208)))</f>
        <v/>
      </c>
      <c r="G208" s="40" t="str">
        <f aca="false">IF($H208="","",INDEX(Задачи!$I$1:$I$501,$H208)&amp;"")</f>
        <v/>
      </c>
      <c r="H208" s="20" t="str">
        <f aca="false">IFERROR(MOD(LARGE(Задачи!$P$2:$P$501,ROWS(H$5:H208)),1000),"")</f>
        <v/>
      </c>
    </row>
    <row r="209" customFormat="false" ht="30" hidden="false" customHeight="true" outlineLevel="0" collapsed="false">
      <c r="A209" s="39" t="str">
        <f aca="false">IF($H209="","",ROWS(A$5:A209))</f>
        <v/>
      </c>
      <c r="B209" s="40" t="str">
        <f aca="false">IF($H209="","",INDEX(Задачи!$A$1:$A$501,$H209)&amp;"")</f>
        <v/>
      </c>
      <c r="C209" s="40" t="str">
        <f aca="false">IF($H209="","",INDEX(Задачи!$B$1:$B$501,$H209)&amp;"")</f>
        <v/>
      </c>
      <c r="D209" s="39" t="str">
        <f aca="false">IF($H209="","",INDEX(Задачи!$C$1:$C$501,$H209)&amp;"")</f>
        <v/>
      </c>
      <c r="E209" s="41" t="str">
        <f aca="false">IF($H209="","",IF(INDEX(Задачи!$E$1:$E$501,$H209)="","",INDEX(Задачи!$E$1:$E$501,$H209)))</f>
        <v/>
      </c>
      <c r="F209" s="41" t="str">
        <f aca="false">IF($H209="","",IF(INDEX(Задачи!$F$1:$F$501,$H209)="","",INDEX(Задачи!$F$1:$F$501,$H209)))</f>
        <v/>
      </c>
      <c r="G209" s="40" t="str">
        <f aca="false">IF($H209="","",INDEX(Задачи!$I$1:$I$501,$H209)&amp;"")</f>
        <v/>
      </c>
      <c r="H209" s="20" t="str">
        <f aca="false">IFERROR(MOD(LARGE(Задачи!$P$2:$P$501,ROWS(H$5:H209)),1000),"")</f>
        <v/>
      </c>
    </row>
    <row r="210" customFormat="false" ht="30" hidden="false" customHeight="true" outlineLevel="0" collapsed="false">
      <c r="A210" s="39" t="str">
        <f aca="false">IF($H210="","",ROWS(A$5:A210))</f>
        <v/>
      </c>
      <c r="B210" s="40" t="str">
        <f aca="false">IF($H210="","",INDEX(Задачи!$A$1:$A$501,$H210)&amp;"")</f>
        <v/>
      </c>
      <c r="C210" s="40" t="str">
        <f aca="false">IF($H210="","",INDEX(Задачи!$B$1:$B$501,$H210)&amp;"")</f>
        <v/>
      </c>
      <c r="D210" s="39" t="str">
        <f aca="false">IF($H210="","",INDEX(Задачи!$C$1:$C$501,$H210)&amp;"")</f>
        <v/>
      </c>
      <c r="E210" s="41" t="str">
        <f aca="false">IF($H210="","",IF(INDEX(Задачи!$E$1:$E$501,$H210)="","",INDEX(Задачи!$E$1:$E$501,$H210)))</f>
        <v/>
      </c>
      <c r="F210" s="41" t="str">
        <f aca="false">IF($H210="","",IF(INDEX(Задачи!$F$1:$F$501,$H210)="","",INDEX(Задачи!$F$1:$F$501,$H210)))</f>
        <v/>
      </c>
      <c r="G210" s="40" t="str">
        <f aca="false">IF($H210="","",INDEX(Задачи!$I$1:$I$501,$H210)&amp;"")</f>
        <v/>
      </c>
      <c r="H210" s="20" t="str">
        <f aca="false">IFERROR(MOD(LARGE(Задачи!$P$2:$P$501,ROWS(H$5:H210)),1000),"")</f>
        <v/>
      </c>
    </row>
    <row r="211" customFormat="false" ht="30" hidden="false" customHeight="true" outlineLevel="0" collapsed="false">
      <c r="A211" s="39" t="str">
        <f aca="false">IF($H211="","",ROWS(A$5:A211))</f>
        <v/>
      </c>
      <c r="B211" s="40" t="str">
        <f aca="false">IF($H211="","",INDEX(Задачи!$A$1:$A$501,$H211)&amp;"")</f>
        <v/>
      </c>
      <c r="C211" s="40" t="str">
        <f aca="false">IF($H211="","",INDEX(Задачи!$B$1:$B$501,$H211)&amp;"")</f>
        <v/>
      </c>
      <c r="D211" s="39" t="str">
        <f aca="false">IF($H211="","",INDEX(Задачи!$C$1:$C$501,$H211)&amp;"")</f>
        <v/>
      </c>
      <c r="E211" s="41" t="str">
        <f aca="false">IF($H211="","",IF(INDEX(Задачи!$E$1:$E$501,$H211)="","",INDEX(Задачи!$E$1:$E$501,$H211)))</f>
        <v/>
      </c>
      <c r="F211" s="41" t="str">
        <f aca="false">IF($H211="","",IF(INDEX(Задачи!$F$1:$F$501,$H211)="","",INDEX(Задачи!$F$1:$F$501,$H211)))</f>
        <v/>
      </c>
      <c r="G211" s="40" t="str">
        <f aca="false">IF($H211="","",INDEX(Задачи!$I$1:$I$501,$H211)&amp;"")</f>
        <v/>
      </c>
      <c r="H211" s="20" t="str">
        <f aca="false">IFERROR(MOD(LARGE(Задачи!$P$2:$P$501,ROWS(H$5:H211)),1000),"")</f>
        <v/>
      </c>
    </row>
    <row r="212" customFormat="false" ht="30" hidden="false" customHeight="true" outlineLevel="0" collapsed="false">
      <c r="A212" s="39" t="str">
        <f aca="false">IF($H212="","",ROWS(A$5:A212))</f>
        <v/>
      </c>
      <c r="B212" s="40" t="str">
        <f aca="false">IF($H212="","",INDEX(Задачи!$A$1:$A$501,$H212)&amp;"")</f>
        <v/>
      </c>
      <c r="C212" s="40" t="str">
        <f aca="false">IF($H212="","",INDEX(Задачи!$B$1:$B$501,$H212)&amp;"")</f>
        <v/>
      </c>
      <c r="D212" s="39" t="str">
        <f aca="false">IF($H212="","",INDEX(Задачи!$C$1:$C$501,$H212)&amp;"")</f>
        <v/>
      </c>
      <c r="E212" s="41" t="str">
        <f aca="false">IF($H212="","",IF(INDEX(Задачи!$E$1:$E$501,$H212)="","",INDEX(Задачи!$E$1:$E$501,$H212)))</f>
        <v/>
      </c>
      <c r="F212" s="41" t="str">
        <f aca="false">IF($H212="","",IF(INDEX(Задачи!$F$1:$F$501,$H212)="","",INDEX(Задачи!$F$1:$F$501,$H212)))</f>
        <v/>
      </c>
      <c r="G212" s="40" t="str">
        <f aca="false">IF($H212="","",INDEX(Задачи!$I$1:$I$501,$H212)&amp;"")</f>
        <v/>
      </c>
      <c r="H212" s="20" t="str">
        <f aca="false">IFERROR(MOD(LARGE(Задачи!$P$2:$P$501,ROWS(H$5:H212)),1000),"")</f>
        <v/>
      </c>
    </row>
    <row r="213" customFormat="false" ht="30" hidden="false" customHeight="true" outlineLevel="0" collapsed="false">
      <c r="A213" s="39" t="str">
        <f aca="false">IF($H213="","",ROWS(A$5:A213))</f>
        <v/>
      </c>
      <c r="B213" s="40" t="str">
        <f aca="false">IF($H213="","",INDEX(Задачи!$A$1:$A$501,$H213)&amp;"")</f>
        <v/>
      </c>
      <c r="C213" s="40" t="str">
        <f aca="false">IF($H213="","",INDEX(Задачи!$B$1:$B$501,$H213)&amp;"")</f>
        <v/>
      </c>
      <c r="D213" s="39" t="str">
        <f aca="false">IF($H213="","",INDEX(Задачи!$C$1:$C$501,$H213)&amp;"")</f>
        <v/>
      </c>
      <c r="E213" s="41" t="str">
        <f aca="false">IF($H213="","",IF(INDEX(Задачи!$E$1:$E$501,$H213)="","",INDEX(Задачи!$E$1:$E$501,$H213)))</f>
        <v/>
      </c>
      <c r="F213" s="41" t="str">
        <f aca="false">IF($H213="","",IF(INDEX(Задачи!$F$1:$F$501,$H213)="","",INDEX(Задачи!$F$1:$F$501,$H213)))</f>
        <v/>
      </c>
      <c r="G213" s="40" t="str">
        <f aca="false">IF($H213="","",INDEX(Задачи!$I$1:$I$501,$H213)&amp;"")</f>
        <v/>
      </c>
      <c r="H213" s="20" t="str">
        <f aca="false">IFERROR(MOD(LARGE(Задачи!$P$2:$P$501,ROWS(H$5:H213)),1000),"")</f>
        <v/>
      </c>
    </row>
    <row r="214" customFormat="false" ht="30" hidden="false" customHeight="true" outlineLevel="0" collapsed="false">
      <c r="A214" s="39" t="str">
        <f aca="false">IF($H214="","",ROWS(A$5:A214))</f>
        <v/>
      </c>
      <c r="B214" s="40" t="str">
        <f aca="false">IF($H214="","",INDEX(Задачи!$A$1:$A$501,$H214)&amp;"")</f>
        <v/>
      </c>
      <c r="C214" s="40" t="str">
        <f aca="false">IF($H214="","",INDEX(Задачи!$B$1:$B$501,$H214)&amp;"")</f>
        <v/>
      </c>
      <c r="D214" s="39" t="str">
        <f aca="false">IF($H214="","",INDEX(Задачи!$C$1:$C$501,$H214)&amp;"")</f>
        <v/>
      </c>
      <c r="E214" s="41" t="str">
        <f aca="false">IF($H214="","",IF(INDEX(Задачи!$E$1:$E$501,$H214)="","",INDEX(Задачи!$E$1:$E$501,$H214)))</f>
        <v/>
      </c>
      <c r="F214" s="41" t="str">
        <f aca="false">IF($H214="","",IF(INDEX(Задачи!$F$1:$F$501,$H214)="","",INDEX(Задачи!$F$1:$F$501,$H214)))</f>
        <v/>
      </c>
      <c r="G214" s="40" t="str">
        <f aca="false">IF($H214="","",INDEX(Задачи!$I$1:$I$501,$H214)&amp;"")</f>
        <v/>
      </c>
      <c r="H214" s="20" t="str">
        <f aca="false">IFERROR(MOD(LARGE(Задачи!$P$2:$P$501,ROWS(H$5:H214)),1000),"")</f>
        <v/>
      </c>
    </row>
    <row r="215" customFormat="false" ht="30" hidden="false" customHeight="true" outlineLevel="0" collapsed="false">
      <c r="A215" s="39" t="str">
        <f aca="false">IF($H215="","",ROWS(A$5:A215))</f>
        <v/>
      </c>
      <c r="B215" s="40" t="str">
        <f aca="false">IF($H215="","",INDEX(Задачи!$A$1:$A$501,$H215)&amp;"")</f>
        <v/>
      </c>
      <c r="C215" s="40" t="str">
        <f aca="false">IF($H215="","",INDEX(Задачи!$B$1:$B$501,$H215)&amp;"")</f>
        <v/>
      </c>
      <c r="D215" s="39" t="str">
        <f aca="false">IF($H215="","",INDEX(Задачи!$C$1:$C$501,$H215)&amp;"")</f>
        <v/>
      </c>
      <c r="E215" s="41" t="str">
        <f aca="false">IF($H215="","",IF(INDEX(Задачи!$E$1:$E$501,$H215)="","",INDEX(Задачи!$E$1:$E$501,$H215)))</f>
        <v/>
      </c>
      <c r="F215" s="41" t="str">
        <f aca="false">IF($H215="","",IF(INDEX(Задачи!$F$1:$F$501,$H215)="","",INDEX(Задачи!$F$1:$F$501,$H215)))</f>
        <v/>
      </c>
      <c r="G215" s="40" t="str">
        <f aca="false">IF($H215="","",INDEX(Задачи!$I$1:$I$501,$H215)&amp;"")</f>
        <v/>
      </c>
      <c r="H215" s="20" t="str">
        <f aca="false">IFERROR(MOD(LARGE(Задачи!$P$2:$P$501,ROWS(H$5:H215)),1000),"")</f>
        <v/>
      </c>
    </row>
    <row r="216" customFormat="false" ht="30" hidden="false" customHeight="true" outlineLevel="0" collapsed="false">
      <c r="A216" s="39" t="str">
        <f aca="false">IF($H216="","",ROWS(A$5:A216))</f>
        <v/>
      </c>
      <c r="B216" s="40" t="str">
        <f aca="false">IF($H216="","",INDEX(Задачи!$A$1:$A$501,$H216)&amp;"")</f>
        <v/>
      </c>
      <c r="C216" s="40" t="str">
        <f aca="false">IF($H216="","",INDEX(Задачи!$B$1:$B$501,$H216)&amp;"")</f>
        <v/>
      </c>
      <c r="D216" s="39" t="str">
        <f aca="false">IF($H216="","",INDEX(Задачи!$C$1:$C$501,$H216)&amp;"")</f>
        <v/>
      </c>
      <c r="E216" s="41" t="str">
        <f aca="false">IF($H216="","",IF(INDEX(Задачи!$E$1:$E$501,$H216)="","",INDEX(Задачи!$E$1:$E$501,$H216)))</f>
        <v/>
      </c>
      <c r="F216" s="41" t="str">
        <f aca="false">IF($H216="","",IF(INDEX(Задачи!$F$1:$F$501,$H216)="","",INDEX(Задачи!$F$1:$F$501,$H216)))</f>
        <v/>
      </c>
      <c r="G216" s="40" t="str">
        <f aca="false">IF($H216="","",INDEX(Задачи!$I$1:$I$501,$H216)&amp;"")</f>
        <v/>
      </c>
      <c r="H216" s="20" t="str">
        <f aca="false">IFERROR(MOD(LARGE(Задачи!$P$2:$P$501,ROWS(H$5:H216)),1000),"")</f>
        <v/>
      </c>
    </row>
    <row r="217" customFormat="false" ht="30" hidden="false" customHeight="true" outlineLevel="0" collapsed="false">
      <c r="A217" s="39" t="str">
        <f aca="false">IF($H217="","",ROWS(A$5:A217))</f>
        <v/>
      </c>
      <c r="B217" s="40" t="str">
        <f aca="false">IF($H217="","",INDEX(Задачи!$A$1:$A$501,$H217)&amp;"")</f>
        <v/>
      </c>
      <c r="C217" s="40" t="str">
        <f aca="false">IF($H217="","",INDEX(Задачи!$B$1:$B$501,$H217)&amp;"")</f>
        <v/>
      </c>
      <c r="D217" s="39" t="str">
        <f aca="false">IF($H217="","",INDEX(Задачи!$C$1:$C$501,$H217)&amp;"")</f>
        <v/>
      </c>
      <c r="E217" s="41" t="str">
        <f aca="false">IF($H217="","",IF(INDEX(Задачи!$E$1:$E$501,$H217)="","",INDEX(Задачи!$E$1:$E$501,$H217)))</f>
        <v/>
      </c>
      <c r="F217" s="41" t="str">
        <f aca="false">IF($H217="","",IF(INDEX(Задачи!$F$1:$F$501,$H217)="","",INDEX(Задачи!$F$1:$F$501,$H217)))</f>
        <v/>
      </c>
      <c r="G217" s="40" t="str">
        <f aca="false">IF($H217="","",INDEX(Задачи!$I$1:$I$501,$H217)&amp;"")</f>
        <v/>
      </c>
      <c r="H217" s="20" t="str">
        <f aca="false">IFERROR(MOD(LARGE(Задачи!$P$2:$P$501,ROWS(H$5:H217)),1000),"")</f>
        <v/>
      </c>
    </row>
    <row r="218" customFormat="false" ht="30" hidden="false" customHeight="true" outlineLevel="0" collapsed="false">
      <c r="A218" s="39" t="str">
        <f aca="false">IF($H218="","",ROWS(A$5:A218))</f>
        <v/>
      </c>
      <c r="B218" s="40" t="str">
        <f aca="false">IF($H218="","",INDEX(Задачи!$A$1:$A$501,$H218)&amp;"")</f>
        <v/>
      </c>
      <c r="C218" s="40" t="str">
        <f aca="false">IF($H218="","",INDEX(Задачи!$B$1:$B$501,$H218)&amp;"")</f>
        <v/>
      </c>
      <c r="D218" s="39" t="str">
        <f aca="false">IF($H218="","",INDEX(Задачи!$C$1:$C$501,$H218)&amp;"")</f>
        <v/>
      </c>
      <c r="E218" s="41" t="str">
        <f aca="false">IF($H218="","",IF(INDEX(Задачи!$E$1:$E$501,$H218)="","",INDEX(Задачи!$E$1:$E$501,$H218)))</f>
        <v/>
      </c>
      <c r="F218" s="41" t="str">
        <f aca="false">IF($H218="","",IF(INDEX(Задачи!$F$1:$F$501,$H218)="","",INDEX(Задачи!$F$1:$F$501,$H218)))</f>
        <v/>
      </c>
      <c r="G218" s="40" t="str">
        <f aca="false">IF($H218="","",INDEX(Задачи!$I$1:$I$501,$H218)&amp;"")</f>
        <v/>
      </c>
      <c r="H218" s="20" t="str">
        <f aca="false">IFERROR(MOD(LARGE(Задачи!$P$2:$P$501,ROWS(H$5:H218)),1000),"")</f>
        <v/>
      </c>
    </row>
    <row r="219" customFormat="false" ht="30" hidden="false" customHeight="true" outlineLevel="0" collapsed="false">
      <c r="A219" s="39" t="str">
        <f aca="false">IF($H219="","",ROWS(A$5:A219))</f>
        <v/>
      </c>
      <c r="B219" s="40" t="str">
        <f aca="false">IF($H219="","",INDEX(Задачи!$A$1:$A$501,$H219)&amp;"")</f>
        <v/>
      </c>
      <c r="C219" s="40" t="str">
        <f aca="false">IF($H219="","",INDEX(Задачи!$B$1:$B$501,$H219)&amp;"")</f>
        <v/>
      </c>
      <c r="D219" s="39" t="str">
        <f aca="false">IF($H219="","",INDEX(Задачи!$C$1:$C$501,$H219)&amp;"")</f>
        <v/>
      </c>
      <c r="E219" s="41" t="str">
        <f aca="false">IF($H219="","",IF(INDEX(Задачи!$E$1:$E$501,$H219)="","",INDEX(Задачи!$E$1:$E$501,$H219)))</f>
        <v/>
      </c>
      <c r="F219" s="41" t="str">
        <f aca="false">IF($H219="","",IF(INDEX(Задачи!$F$1:$F$501,$H219)="","",INDEX(Задачи!$F$1:$F$501,$H219)))</f>
        <v/>
      </c>
      <c r="G219" s="40" t="str">
        <f aca="false">IF($H219="","",INDEX(Задачи!$I$1:$I$501,$H219)&amp;"")</f>
        <v/>
      </c>
      <c r="H219" s="20" t="str">
        <f aca="false">IFERROR(MOD(LARGE(Задачи!$P$2:$P$501,ROWS(H$5:H219)),1000),"")</f>
        <v/>
      </c>
    </row>
    <row r="220" customFormat="false" ht="30" hidden="false" customHeight="true" outlineLevel="0" collapsed="false">
      <c r="A220" s="39" t="str">
        <f aca="false">IF($H220="","",ROWS(A$5:A220))</f>
        <v/>
      </c>
      <c r="B220" s="40" t="str">
        <f aca="false">IF($H220="","",INDEX(Задачи!$A$1:$A$501,$H220)&amp;"")</f>
        <v/>
      </c>
      <c r="C220" s="40" t="str">
        <f aca="false">IF($H220="","",INDEX(Задачи!$B$1:$B$501,$H220)&amp;"")</f>
        <v/>
      </c>
      <c r="D220" s="39" t="str">
        <f aca="false">IF($H220="","",INDEX(Задачи!$C$1:$C$501,$H220)&amp;"")</f>
        <v/>
      </c>
      <c r="E220" s="41" t="str">
        <f aca="false">IF($H220="","",IF(INDEX(Задачи!$E$1:$E$501,$H220)="","",INDEX(Задачи!$E$1:$E$501,$H220)))</f>
        <v/>
      </c>
      <c r="F220" s="41" t="str">
        <f aca="false">IF($H220="","",IF(INDEX(Задачи!$F$1:$F$501,$H220)="","",INDEX(Задачи!$F$1:$F$501,$H220)))</f>
        <v/>
      </c>
      <c r="G220" s="40" t="str">
        <f aca="false">IF($H220="","",INDEX(Задачи!$I$1:$I$501,$H220)&amp;"")</f>
        <v/>
      </c>
      <c r="H220" s="20" t="str">
        <f aca="false">IFERROR(MOD(LARGE(Задачи!$P$2:$P$501,ROWS(H$5:H220)),1000),"")</f>
        <v/>
      </c>
    </row>
    <row r="221" customFormat="false" ht="30" hidden="false" customHeight="true" outlineLevel="0" collapsed="false">
      <c r="A221" s="39" t="str">
        <f aca="false">IF($H221="","",ROWS(A$5:A221))</f>
        <v/>
      </c>
      <c r="B221" s="40" t="str">
        <f aca="false">IF($H221="","",INDEX(Задачи!$A$1:$A$501,$H221)&amp;"")</f>
        <v/>
      </c>
      <c r="C221" s="40" t="str">
        <f aca="false">IF($H221="","",INDEX(Задачи!$B$1:$B$501,$H221)&amp;"")</f>
        <v/>
      </c>
      <c r="D221" s="39" t="str">
        <f aca="false">IF($H221="","",INDEX(Задачи!$C$1:$C$501,$H221)&amp;"")</f>
        <v/>
      </c>
      <c r="E221" s="41" t="str">
        <f aca="false">IF($H221="","",IF(INDEX(Задачи!$E$1:$E$501,$H221)="","",INDEX(Задачи!$E$1:$E$501,$H221)))</f>
        <v/>
      </c>
      <c r="F221" s="41" t="str">
        <f aca="false">IF($H221="","",IF(INDEX(Задачи!$F$1:$F$501,$H221)="","",INDEX(Задачи!$F$1:$F$501,$H221)))</f>
        <v/>
      </c>
      <c r="G221" s="40" t="str">
        <f aca="false">IF($H221="","",INDEX(Задачи!$I$1:$I$501,$H221)&amp;"")</f>
        <v/>
      </c>
      <c r="H221" s="20" t="str">
        <f aca="false">IFERROR(MOD(LARGE(Задачи!$P$2:$P$501,ROWS(H$5:H221)),1000),"")</f>
        <v/>
      </c>
    </row>
    <row r="222" customFormat="false" ht="30" hidden="false" customHeight="true" outlineLevel="0" collapsed="false">
      <c r="A222" s="39" t="str">
        <f aca="false">IF($H222="","",ROWS(A$5:A222))</f>
        <v/>
      </c>
      <c r="B222" s="40" t="str">
        <f aca="false">IF($H222="","",INDEX(Задачи!$A$1:$A$501,$H222)&amp;"")</f>
        <v/>
      </c>
      <c r="C222" s="40" t="str">
        <f aca="false">IF($H222="","",INDEX(Задачи!$B$1:$B$501,$H222)&amp;"")</f>
        <v/>
      </c>
      <c r="D222" s="39" t="str">
        <f aca="false">IF($H222="","",INDEX(Задачи!$C$1:$C$501,$H222)&amp;"")</f>
        <v/>
      </c>
      <c r="E222" s="41" t="str">
        <f aca="false">IF($H222="","",IF(INDEX(Задачи!$E$1:$E$501,$H222)="","",INDEX(Задачи!$E$1:$E$501,$H222)))</f>
        <v/>
      </c>
      <c r="F222" s="41" t="str">
        <f aca="false">IF($H222="","",IF(INDEX(Задачи!$F$1:$F$501,$H222)="","",INDEX(Задачи!$F$1:$F$501,$H222)))</f>
        <v/>
      </c>
      <c r="G222" s="40" t="str">
        <f aca="false">IF($H222="","",INDEX(Задачи!$I$1:$I$501,$H222)&amp;"")</f>
        <v/>
      </c>
      <c r="H222" s="20" t="str">
        <f aca="false">IFERROR(MOD(LARGE(Задачи!$P$2:$P$501,ROWS(H$5:H222)),1000),"")</f>
        <v/>
      </c>
    </row>
    <row r="223" customFormat="false" ht="30" hidden="false" customHeight="true" outlineLevel="0" collapsed="false">
      <c r="A223" s="39" t="str">
        <f aca="false">IF($H223="","",ROWS(A$5:A223))</f>
        <v/>
      </c>
      <c r="B223" s="40" t="str">
        <f aca="false">IF($H223="","",INDEX(Задачи!$A$1:$A$501,$H223)&amp;"")</f>
        <v/>
      </c>
      <c r="C223" s="40" t="str">
        <f aca="false">IF($H223="","",INDEX(Задачи!$B$1:$B$501,$H223)&amp;"")</f>
        <v/>
      </c>
      <c r="D223" s="39" t="str">
        <f aca="false">IF($H223="","",INDEX(Задачи!$C$1:$C$501,$H223)&amp;"")</f>
        <v/>
      </c>
      <c r="E223" s="41" t="str">
        <f aca="false">IF($H223="","",IF(INDEX(Задачи!$E$1:$E$501,$H223)="","",INDEX(Задачи!$E$1:$E$501,$H223)))</f>
        <v/>
      </c>
      <c r="F223" s="41" t="str">
        <f aca="false">IF($H223="","",IF(INDEX(Задачи!$F$1:$F$501,$H223)="","",INDEX(Задачи!$F$1:$F$501,$H223)))</f>
        <v/>
      </c>
      <c r="G223" s="40" t="str">
        <f aca="false">IF($H223="","",INDEX(Задачи!$I$1:$I$501,$H223)&amp;"")</f>
        <v/>
      </c>
      <c r="H223" s="20" t="str">
        <f aca="false">IFERROR(MOD(LARGE(Задачи!$P$2:$P$501,ROWS(H$5:H223)),1000),"")</f>
        <v/>
      </c>
    </row>
    <row r="224" customFormat="false" ht="30" hidden="false" customHeight="true" outlineLevel="0" collapsed="false">
      <c r="A224" s="39" t="str">
        <f aca="false">IF($H224="","",ROWS(A$5:A224))</f>
        <v/>
      </c>
      <c r="B224" s="40" t="str">
        <f aca="false">IF($H224="","",INDEX(Задачи!$A$1:$A$501,$H224)&amp;"")</f>
        <v/>
      </c>
      <c r="C224" s="40" t="str">
        <f aca="false">IF($H224="","",INDEX(Задачи!$B$1:$B$501,$H224)&amp;"")</f>
        <v/>
      </c>
      <c r="D224" s="39" t="str">
        <f aca="false">IF($H224="","",INDEX(Задачи!$C$1:$C$501,$H224)&amp;"")</f>
        <v/>
      </c>
      <c r="E224" s="41" t="str">
        <f aca="false">IF($H224="","",IF(INDEX(Задачи!$E$1:$E$501,$H224)="","",INDEX(Задачи!$E$1:$E$501,$H224)))</f>
        <v/>
      </c>
      <c r="F224" s="41" t="str">
        <f aca="false">IF($H224="","",IF(INDEX(Задачи!$F$1:$F$501,$H224)="","",INDEX(Задачи!$F$1:$F$501,$H224)))</f>
        <v/>
      </c>
      <c r="G224" s="40" t="str">
        <f aca="false">IF($H224="","",INDEX(Задачи!$I$1:$I$501,$H224)&amp;"")</f>
        <v/>
      </c>
      <c r="H224" s="20" t="str">
        <f aca="false">IFERROR(MOD(LARGE(Задачи!$P$2:$P$501,ROWS(H$5:H224)),1000),"")</f>
        <v/>
      </c>
    </row>
    <row r="225" customFormat="false" ht="30" hidden="false" customHeight="true" outlineLevel="0" collapsed="false">
      <c r="A225" s="39" t="str">
        <f aca="false">IF($H225="","",ROWS(A$5:A225))</f>
        <v/>
      </c>
      <c r="B225" s="40" t="str">
        <f aca="false">IF($H225="","",INDEX(Задачи!$A$1:$A$501,$H225)&amp;"")</f>
        <v/>
      </c>
      <c r="C225" s="40" t="str">
        <f aca="false">IF($H225="","",INDEX(Задачи!$B$1:$B$501,$H225)&amp;"")</f>
        <v/>
      </c>
      <c r="D225" s="39" t="str">
        <f aca="false">IF($H225="","",INDEX(Задачи!$C$1:$C$501,$H225)&amp;"")</f>
        <v/>
      </c>
      <c r="E225" s="41" t="str">
        <f aca="false">IF($H225="","",IF(INDEX(Задачи!$E$1:$E$501,$H225)="","",INDEX(Задачи!$E$1:$E$501,$H225)))</f>
        <v/>
      </c>
      <c r="F225" s="41" t="str">
        <f aca="false">IF($H225="","",IF(INDEX(Задачи!$F$1:$F$501,$H225)="","",INDEX(Задачи!$F$1:$F$501,$H225)))</f>
        <v/>
      </c>
      <c r="G225" s="40" t="str">
        <f aca="false">IF($H225="","",INDEX(Задачи!$I$1:$I$501,$H225)&amp;"")</f>
        <v/>
      </c>
      <c r="H225" s="20" t="str">
        <f aca="false">IFERROR(MOD(LARGE(Задачи!$P$2:$P$501,ROWS(H$5:H225)),1000),"")</f>
        <v/>
      </c>
    </row>
    <row r="226" customFormat="false" ht="30" hidden="false" customHeight="true" outlineLevel="0" collapsed="false">
      <c r="A226" s="39" t="str">
        <f aca="false">IF($H226="","",ROWS(A$5:A226))</f>
        <v/>
      </c>
      <c r="B226" s="40" t="str">
        <f aca="false">IF($H226="","",INDEX(Задачи!$A$1:$A$501,$H226)&amp;"")</f>
        <v/>
      </c>
      <c r="C226" s="40" t="str">
        <f aca="false">IF($H226="","",INDEX(Задачи!$B$1:$B$501,$H226)&amp;"")</f>
        <v/>
      </c>
      <c r="D226" s="39" t="str">
        <f aca="false">IF($H226="","",INDEX(Задачи!$C$1:$C$501,$H226)&amp;"")</f>
        <v/>
      </c>
      <c r="E226" s="41" t="str">
        <f aca="false">IF($H226="","",IF(INDEX(Задачи!$E$1:$E$501,$H226)="","",INDEX(Задачи!$E$1:$E$501,$H226)))</f>
        <v/>
      </c>
      <c r="F226" s="41" t="str">
        <f aca="false">IF($H226="","",IF(INDEX(Задачи!$F$1:$F$501,$H226)="","",INDEX(Задачи!$F$1:$F$501,$H226)))</f>
        <v/>
      </c>
      <c r="G226" s="40" t="str">
        <f aca="false">IF($H226="","",INDEX(Задачи!$I$1:$I$501,$H226)&amp;"")</f>
        <v/>
      </c>
      <c r="H226" s="20" t="str">
        <f aca="false">IFERROR(MOD(LARGE(Задачи!$P$2:$P$501,ROWS(H$5:H226)),1000),"")</f>
        <v/>
      </c>
    </row>
    <row r="227" customFormat="false" ht="30" hidden="false" customHeight="true" outlineLevel="0" collapsed="false">
      <c r="A227" s="39" t="str">
        <f aca="false">IF($H227="","",ROWS(A$5:A227))</f>
        <v/>
      </c>
      <c r="B227" s="40" t="str">
        <f aca="false">IF($H227="","",INDEX(Задачи!$A$1:$A$501,$H227)&amp;"")</f>
        <v/>
      </c>
      <c r="C227" s="40" t="str">
        <f aca="false">IF($H227="","",INDEX(Задачи!$B$1:$B$501,$H227)&amp;"")</f>
        <v/>
      </c>
      <c r="D227" s="39" t="str">
        <f aca="false">IF($H227="","",INDEX(Задачи!$C$1:$C$501,$H227)&amp;"")</f>
        <v/>
      </c>
      <c r="E227" s="41" t="str">
        <f aca="false">IF($H227="","",IF(INDEX(Задачи!$E$1:$E$501,$H227)="","",INDEX(Задачи!$E$1:$E$501,$H227)))</f>
        <v/>
      </c>
      <c r="F227" s="41" t="str">
        <f aca="false">IF($H227="","",IF(INDEX(Задачи!$F$1:$F$501,$H227)="","",INDEX(Задачи!$F$1:$F$501,$H227)))</f>
        <v/>
      </c>
      <c r="G227" s="40" t="str">
        <f aca="false">IF($H227="","",INDEX(Задачи!$I$1:$I$501,$H227)&amp;"")</f>
        <v/>
      </c>
      <c r="H227" s="20" t="str">
        <f aca="false">IFERROR(MOD(LARGE(Задачи!$P$2:$P$501,ROWS(H$5:H227)),1000),"")</f>
        <v/>
      </c>
    </row>
    <row r="228" customFormat="false" ht="30" hidden="false" customHeight="true" outlineLevel="0" collapsed="false">
      <c r="A228" s="39" t="str">
        <f aca="false">IF($H228="","",ROWS(A$5:A228))</f>
        <v/>
      </c>
      <c r="B228" s="40" t="str">
        <f aca="false">IF($H228="","",INDEX(Задачи!$A$1:$A$501,$H228)&amp;"")</f>
        <v/>
      </c>
      <c r="C228" s="40" t="str">
        <f aca="false">IF($H228="","",INDEX(Задачи!$B$1:$B$501,$H228)&amp;"")</f>
        <v/>
      </c>
      <c r="D228" s="39" t="str">
        <f aca="false">IF($H228="","",INDEX(Задачи!$C$1:$C$501,$H228)&amp;"")</f>
        <v/>
      </c>
      <c r="E228" s="41" t="str">
        <f aca="false">IF($H228="","",IF(INDEX(Задачи!$E$1:$E$501,$H228)="","",INDEX(Задачи!$E$1:$E$501,$H228)))</f>
        <v/>
      </c>
      <c r="F228" s="41" t="str">
        <f aca="false">IF($H228="","",IF(INDEX(Задачи!$F$1:$F$501,$H228)="","",INDEX(Задачи!$F$1:$F$501,$H228)))</f>
        <v/>
      </c>
      <c r="G228" s="40" t="str">
        <f aca="false">IF($H228="","",INDEX(Задачи!$I$1:$I$501,$H228)&amp;"")</f>
        <v/>
      </c>
      <c r="H228" s="20" t="str">
        <f aca="false">IFERROR(MOD(LARGE(Задачи!$P$2:$P$501,ROWS(H$5:H228)),1000),"")</f>
        <v/>
      </c>
    </row>
    <row r="229" customFormat="false" ht="30" hidden="false" customHeight="true" outlineLevel="0" collapsed="false">
      <c r="A229" s="39" t="str">
        <f aca="false">IF($H229="","",ROWS(A$5:A229))</f>
        <v/>
      </c>
      <c r="B229" s="40" t="str">
        <f aca="false">IF($H229="","",INDEX(Задачи!$A$1:$A$501,$H229)&amp;"")</f>
        <v/>
      </c>
      <c r="C229" s="40" t="str">
        <f aca="false">IF($H229="","",INDEX(Задачи!$B$1:$B$501,$H229)&amp;"")</f>
        <v/>
      </c>
      <c r="D229" s="39" t="str">
        <f aca="false">IF($H229="","",INDEX(Задачи!$C$1:$C$501,$H229)&amp;"")</f>
        <v/>
      </c>
      <c r="E229" s="41" t="str">
        <f aca="false">IF($H229="","",IF(INDEX(Задачи!$E$1:$E$501,$H229)="","",INDEX(Задачи!$E$1:$E$501,$H229)))</f>
        <v/>
      </c>
      <c r="F229" s="41" t="str">
        <f aca="false">IF($H229="","",IF(INDEX(Задачи!$F$1:$F$501,$H229)="","",INDEX(Задачи!$F$1:$F$501,$H229)))</f>
        <v/>
      </c>
      <c r="G229" s="40" t="str">
        <f aca="false">IF($H229="","",INDEX(Задачи!$I$1:$I$501,$H229)&amp;"")</f>
        <v/>
      </c>
      <c r="H229" s="20" t="str">
        <f aca="false">IFERROR(MOD(LARGE(Задачи!$P$2:$P$501,ROWS(H$5:H229)),1000),"")</f>
        <v/>
      </c>
    </row>
    <row r="230" customFormat="false" ht="30" hidden="false" customHeight="true" outlineLevel="0" collapsed="false">
      <c r="A230" s="39" t="str">
        <f aca="false">IF($H230="","",ROWS(A$5:A230))</f>
        <v/>
      </c>
      <c r="B230" s="40" t="str">
        <f aca="false">IF($H230="","",INDEX(Задачи!$A$1:$A$501,$H230)&amp;"")</f>
        <v/>
      </c>
      <c r="C230" s="40" t="str">
        <f aca="false">IF($H230="","",INDEX(Задачи!$B$1:$B$501,$H230)&amp;"")</f>
        <v/>
      </c>
      <c r="D230" s="39" t="str">
        <f aca="false">IF($H230="","",INDEX(Задачи!$C$1:$C$501,$H230)&amp;"")</f>
        <v/>
      </c>
      <c r="E230" s="41" t="str">
        <f aca="false">IF($H230="","",IF(INDEX(Задачи!$E$1:$E$501,$H230)="","",INDEX(Задачи!$E$1:$E$501,$H230)))</f>
        <v/>
      </c>
      <c r="F230" s="41" t="str">
        <f aca="false">IF($H230="","",IF(INDEX(Задачи!$F$1:$F$501,$H230)="","",INDEX(Задачи!$F$1:$F$501,$H230)))</f>
        <v/>
      </c>
      <c r="G230" s="40" t="str">
        <f aca="false">IF($H230="","",INDEX(Задачи!$I$1:$I$501,$H230)&amp;"")</f>
        <v/>
      </c>
      <c r="H230" s="20" t="str">
        <f aca="false">IFERROR(MOD(LARGE(Задачи!$P$2:$P$501,ROWS(H$5:H230)),1000),"")</f>
        <v/>
      </c>
    </row>
    <row r="231" customFormat="false" ht="30" hidden="false" customHeight="true" outlineLevel="0" collapsed="false">
      <c r="A231" s="39" t="str">
        <f aca="false">IF($H231="","",ROWS(A$5:A231))</f>
        <v/>
      </c>
      <c r="B231" s="40" t="str">
        <f aca="false">IF($H231="","",INDEX(Задачи!$A$1:$A$501,$H231)&amp;"")</f>
        <v/>
      </c>
      <c r="C231" s="40" t="str">
        <f aca="false">IF($H231="","",INDEX(Задачи!$B$1:$B$501,$H231)&amp;"")</f>
        <v/>
      </c>
      <c r="D231" s="39" t="str">
        <f aca="false">IF($H231="","",INDEX(Задачи!$C$1:$C$501,$H231)&amp;"")</f>
        <v/>
      </c>
      <c r="E231" s="41" t="str">
        <f aca="false">IF($H231="","",IF(INDEX(Задачи!$E$1:$E$501,$H231)="","",INDEX(Задачи!$E$1:$E$501,$H231)))</f>
        <v/>
      </c>
      <c r="F231" s="41" t="str">
        <f aca="false">IF($H231="","",IF(INDEX(Задачи!$F$1:$F$501,$H231)="","",INDEX(Задачи!$F$1:$F$501,$H231)))</f>
        <v/>
      </c>
      <c r="G231" s="40" t="str">
        <f aca="false">IF($H231="","",INDEX(Задачи!$I$1:$I$501,$H231)&amp;"")</f>
        <v/>
      </c>
      <c r="H231" s="20" t="str">
        <f aca="false">IFERROR(MOD(LARGE(Задачи!$P$2:$P$501,ROWS(H$5:H231)),1000),"")</f>
        <v/>
      </c>
    </row>
    <row r="232" customFormat="false" ht="30" hidden="false" customHeight="true" outlineLevel="0" collapsed="false">
      <c r="A232" s="39" t="str">
        <f aca="false">IF($H232="","",ROWS(A$5:A232))</f>
        <v/>
      </c>
      <c r="B232" s="40" t="str">
        <f aca="false">IF($H232="","",INDEX(Задачи!$A$1:$A$501,$H232)&amp;"")</f>
        <v/>
      </c>
      <c r="C232" s="40" t="str">
        <f aca="false">IF($H232="","",INDEX(Задачи!$B$1:$B$501,$H232)&amp;"")</f>
        <v/>
      </c>
      <c r="D232" s="39" t="str">
        <f aca="false">IF($H232="","",INDEX(Задачи!$C$1:$C$501,$H232)&amp;"")</f>
        <v/>
      </c>
      <c r="E232" s="41" t="str">
        <f aca="false">IF($H232="","",IF(INDEX(Задачи!$E$1:$E$501,$H232)="","",INDEX(Задачи!$E$1:$E$501,$H232)))</f>
        <v/>
      </c>
      <c r="F232" s="41" t="str">
        <f aca="false">IF($H232="","",IF(INDEX(Задачи!$F$1:$F$501,$H232)="","",INDEX(Задачи!$F$1:$F$501,$H232)))</f>
        <v/>
      </c>
      <c r="G232" s="40" t="str">
        <f aca="false">IF($H232="","",INDEX(Задачи!$I$1:$I$501,$H232)&amp;"")</f>
        <v/>
      </c>
      <c r="H232" s="20" t="str">
        <f aca="false">IFERROR(MOD(LARGE(Задачи!$P$2:$P$501,ROWS(H$5:H232)),1000),"")</f>
        <v/>
      </c>
    </row>
    <row r="233" customFormat="false" ht="30" hidden="false" customHeight="true" outlineLevel="0" collapsed="false">
      <c r="A233" s="39" t="str">
        <f aca="false">IF($H233="","",ROWS(A$5:A233))</f>
        <v/>
      </c>
      <c r="B233" s="40" t="str">
        <f aca="false">IF($H233="","",INDEX(Задачи!$A$1:$A$501,$H233)&amp;"")</f>
        <v/>
      </c>
      <c r="C233" s="40" t="str">
        <f aca="false">IF($H233="","",INDEX(Задачи!$B$1:$B$501,$H233)&amp;"")</f>
        <v/>
      </c>
      <c r="D233" s="39" t="str">
        <f aca="false">IF($H233="","",INDEX(Задачи!$C$1:$C$501,$H233)&amp;"")</f>
        <v/>
      </c>
      <c r="E233" s="41" t="str">
        <f aca="false">IF($H233="","",IF(INDEX(Задачи!$E$1:$E$501,$H233)="","",INDEX(Задачи!$E$1:$E$501,$H233)))</f>
        <v/>
      </c>
      <c r="F233" s="41" t="str">
        <f aca="false">IF($H233="","",IF(INDEX(Задачи!$F$1:$F$501,$H233)="","",INDEX(Задачи!$F$1:$F$501,$H233)))</f>
        <v/>
      </c>
      <c r="G233" s="40" t="str">
        <f aca="false">IF($H233="","",INDEX(Задачи!$I$1:$I$501,$H233)&amp;"")</f>
        <v/>
      </c>
      <c r="H233" s="20" t="str">
        <f aca="false">IFERROR(MOD(LARGE(Задачи!$P$2:$P$501,ROWS(H$5:H233)),1000),"")</f>
        <v/>
      </c>
    </row>
    <row r="234" customFormat="false" ht="30" hidden="false" customHeight="true" outlineLevel="0" collapsed="false">
      <c r="A234" s="39" t="str">
        <f aca="false">IF($H234="","",ROWS(A$5:A234))</f>
        <v/>
      </c>
      <c r="B234" s="40" t="str">
        <f aca="false">IF($H234="","",INDEX(Задачи!$A$1:$A$501,$H234)&amp;"")</f>
        <v/>
      </c>
      <c r="C234" s="40" t="str">
        <f aca="false">IF($H234="","",INDEX(Задачи!$B$1:$B$501,$H234)&amp;"")</f>
        <v/>
      </c>
      <c r="D234" s="39" t="str">
        <f aca="false">IF($H234="","",INDEX(Задачи!$C$1:$C$501,$H234)&amp;"")</f>
        <v/>
      </c>
      <c r="E234" s="41" t="str">
        <f aca="false">IF($H234="","",IF(INDEX(Задачи!$E$1:$E$501,$H234)="","",INDEX(Задачи!$E$1:$E$501,$H234)))</f>
        <v/>
      </c>
      <c r="F234" s="41" t="str">
        <f aca="false">IF($H234="","",IF(INDEX(Задачи!$F$1:$F$501,$H234)="","",INDEX(Задачи!$F$1:$F$501,$H234)))</f>
        <v/>
      </c>
      <c r="G234" s="40" t="str">
        <f aca="false">IF($H234="","",INDEX(Задачи!$I$1:$I$501,$H234)&amp;"")</f>
        <v/>
      </c>
      <c r="H234" s="20" t="str">
        <f aca="false">IFERROR(MOD(LARGE(Задачи!$P$2:$P$501,ROWS(H$5:H234)),1000),"")</f>
        <v/>
      </c>
    </row>
    <row r="235" customFormat="false" ht="30" hidden="false" customHeight="true" outlineLevel="0" collapsed="false">
      <c r="A235" s="39" t="str">
        <f aca="false">IF($H235="","",ROWS(A$5:A235))</f>
        <v/>
      </c>
      <c r="B235" s="40" t="str">
        <f aca="false">IF($H235="","",INDEX(Задачи!$A$1:$A$501,$H235)&amp;"")</f>
        <v/>
      </c>
      <c r="C235" s="40" t="str">
        <f aca="false">IF($H235="","",INDEX(Задачи!$B$1:$B$501,$H235)&amp;"")</f>
        <v/>
      </c>
      <c r="D235" s="39" t="str">
        <f aca="false">IF($H235="","",INDEX(Задачи!$C$1:$C$501,$H235)&amp;"")</f>
        <v/>
      </c>
      <c r="E235" s="41" t="str">
        <f aca="false">IF($H235="","",IF(INDEX(Задачи!$E$1:$E$501,$H235)="","",INDEX(Задачи!$E$1:$E$501,$H235)))</f>
        <v/>
      </c>
      <c r="F235" s="41" t="str">
        <f aca="false">IF($H235="","",IF(INDEX(Задачи!$F$1:$F$501,$H235)="","",INDEX(Задачи!$F$1:$F$501,$H235)))</f>
        <v/>
      </c>
      <c r="G235" s="40" t="str">
        <f aca="false">IF($H235="","",INDEX(Задачи!$I$1:$I$501,$H235)&amp;"")</f>
        <v/>
      </c>
      <c r="H235" s="20" t="str">
        <f aca="false">IFERROR(MOD(LARGE(Задачи!$P$2:$P$501,ROWS(H$5:H235)),1000),"")</f>
        <v/>
      </c>
    </row>
    <row r="236" customFormat="false" ht="30" hidden="false" customHeight="true" outlineLevel="0" collapsed="false">
      <c r="A236" s="39" t="str">
        <f aca="false">IF($H236="","",ROWS(A$5:A236))</f>
        <v/>
      </c>
      <c r="B236" s="40" t="str">
        <f aca="false">IF($H236="","",INDEX(Задачи!$A$1:$A$501,$H236)&amp;"")</f>
        <v/>
      </c>
      <c r="C236" s="40" t="str">
        <f aca="false">IF($H236="","",INDEX(Задачи!$B$1:$B$501,$H236)&amp;"")</f>
        <v/>
      </c>
      <c r="D236" s="39" t="str">
        <f aca="false">IF($H236="","",INDEX(Задачи!$C$1:$C$501,$H236)&amp;"")</f>
        <v/>
      </c>
      <c r="E236" s="41" t="str">
        <f aca="false">IF($H236="","",IF(INDEX(Задачи!$E$1:$E$501,$H236)="","",INDEX(Задачи!$E$1:$E$501,$H236)))</f>
        <v/>
      </c>
      <c r="F236" s="41" t="str">
        <f aca="false">IF($H236="","",IF(INDEX(Задачи!$F$1:$F$501,$H236)="","",INDEX(Задачи!$F$1:$F$501,$H236)))</f>
        <v/>
      </c>
      <c r="G236" s="40" t="str">
        <f aca="false">IF($H236="","",INDEX(Задачи!$I$1:$I$501,$H236)&amp;"")</f>
        <v/>
      </c>
      <c r="H236" s="20" t="str">
        <f aca="false">IFERROR(MOD(LARGE(Задачи!$P$2:$P$501,ROWS(H$5:H236)),1000),"")</f>
        <v/>
      </c>
    </row>
    <row r="237" customFormat="false" ht="30" hidden="false" customHeight="true" outlineLevel="0" collapsed="false">
      <c r="A237" s="39" t="str">
        <f aca="false">IF($H237="","",ROWS(A$5:A237))</f>
        <v/>
      </c>
      <c r="B237" s="40" t="str">
        <f aca="false">IF($H237="","",INDEX(Задачи!$A$1:$A$501,$H237)&amp;"")</f>
        <v/>
      </c>
      <c r="C237" s="40" t="str">
        <f aca="false">IF($H237="","",INDEX(Задачи!$B$1:$B$501,$H237)&amp;"")</f>
        <v/>
      </c>
      <c r="D237" s="39" t="str">
        <f aca="false">IF($H237="","",INDEX(Задачи!$C$1:$C$501,$H237)&amp;"")</f>
        <v/>
      </c>
      <c r="E237" s="41" t="str">
        <f aca="false">IF($H237="","",IF(INDEX(Задачи!$E$1:$E$501,$H237)="","",INDEX(Задачи!$E$1:$E$501,$H237)))</f>
        <v/>
      </c>
      <c r="F237" s="41" t="str">
        <f aca="false">IF($H237="","",IF(INDEX(Задачи!$F$1:$F$501,$H237)="","",INDEX(Задачи!$F$1:$F$501,$H237)))</f>
        <v/>
      </c>
      <c r="G237" s="40" t="str">
        <f aca="false">IF($H237="","",INDEX(Задачи!$I$1:$I$501,$H237)&amp;"")</f>
        <v/>
      </c>
      <c r="H237" s="20" t="str">
        <f aca="false">IFERROR(MOD(LARGE(Задачи!$P$2:$P$501,ROWS(H$5:H237)),1000),"")</f>
        <v/>
      </c>
    </row>
    <row r="238" customFormat="false" ht="30" hidden="false" customHeight="true" outlineLevel="0" collapsed="false">
      <c r="A238" s="39" t="str">
        <f aca="false">IF($H238="","",ROWS(A$5:A238))</f>
        <v/>
      </c>
      <c r="B238" s="40" t="str">
        <f aca="false">IF($H238="","",INDEX(Задачи!$A$1:$A$501,$H238)&amp;"")</f>
        <v/>
      </c>
      <c r="C238" s="40" t="str">
        <f aca="false">IF($H238="","",INDEX(Задачи!$B$1:$B$501,$H238)&amp;"")</f>
        <v/>
      </c>
      <c r="D238" s="39" t="str">
        <f aca="false">IF($H238="","",INDEX(Задачи!$C$1:$C$501,$H238)&amp;"")</f>
        <v/>
      </c>
      <c r="E238" s="41" t="str">
        <f aca="false">IF($H238="","",IF(INDEX(Задачи!$E$1:$E$501,$H238)="","",INDEX(Задачи!$E$1:$E$501,$H238)))</f>
        <v/>
      </c>
      <c r="F238" s="41" t="str">
        <f aca="false">IF($H238="","",IF(INDEX(Задачи!$F$1:$F$501,$H238)="","",INDEX(Задачи!$F$1:$F$501,$H238)))</f>
        <v/>
      </c>
      <c r="G238" s="40" t="str">
        <f aca="false">IF($H238="","",INDEX(Задачи!$I$1:$I$501,$H238)&amp;"")</f>
        <v/>
      </c>
      <c r="H238" s="20" t="str">
        <f aca="false">IFERROR(MOD(LARGE(Задачи!$P$2:$P$501,ROWS(H$5:H238)),1000),"")</f>
        <v/>
      </c>
    </row>
    <row r="239" customFormat="false" ht="30" hidden="false" customHeight="true" outlineLevel="0" collapsed="false">
      <c r="A239" s="39" t="str">
        <f aca="false">IF($H239="","",ROWS(A$5:A239))</f>
        <v/>
      </c>
      <c r="B239" s="40" t="str">
        <f aca="false">IF($H239="","",INDEX(Задачи!$A$1:$A$501,$H239)&amp;"")</f>
        <v/>
      </c>
      <c r="C239" s="40" t="str">
        <f aca="false">IF($H239="","",INDEX(Задачи!$B$1:$B$501,$H239)&amp;"")</f>
        <v/>
      </c>
      <c r="D239" s="39" t="str">
        <f aca="false">IF($H239="","",INDEX(Задачи!$C$1:$C$501,$H239)&amp;"")</f>
        <v/>
      </c>
      <c r="E239" s="41" t="str">
        <f aca="false">IF($H239="","",IF(INDEX(Задачи!$E$1:$E$501,$H239)="","",INDEX(Задачи!$E$1:$E$501,$H239)))</f>
        <v/>
      </c>
      <c r="F239" s="41" t="str">
        <f aca="false">IF($H239="","",IF(INDEX(Задачи!$F$1:$F$501,$H239)="","",INDEX(Задачи!$F$1:$F$501,$H239)))</f>
        <v/>
      </c>
      <c r="G239" s="40" t="str">
        <f aca="false">IF($H239="","",INDEX(Задачи!$I$1:$I$501,$H239)&amp;"")</f>
        <v/>
      </c>
      <c r="H239" s="20" t="str">
        <f aca="false">IFERROR(MOD(LARGE(Задачи!$P$2:$P$501,ROWS(H$5:H239)),1000),"")</f>
        <v/>
      </c>
    </row>
    <row r="240" customFormat="false" ht="30" hidden="false" customHeight="true" outlineLevel="0" collapsed="false">
      <c r="A240" s="39" t="str">
        <f aca="false">IF($H240="","",ROWS(A$5:A240))</f>
        <v/>
      </c>
      <c r="B240" s="40" t="str">
        <f aca="false">IF($H240="","",INDEX(Задачи!$A$1:$A$501,$H240)&amp;"")</f>
        <v/>
      </c>
      <c r="C240" s="40" t="str">
        <f aca="false">IF($H240="","",INDEX(Задачи!$B$1:$B$501,$H240)&amp;"")</f>
        <v/>
      </c>
      <c r="D240" s="39" t="str">
        <f aca="false">IF($H240="","",INDEX(Задачи!$C$1:$C$501,$H240)&amp;"")</f>
        <v/>
      </c>
      <c r="E240" s="41" t="str">
        <f aca="false">IF($H240="","",IF(INDEX(Задачи!$E$1:$E$501,$H240)="","",INDEX(Задачи!$E$1:$E$501,$H240)))</f>
        <v/>
      </c>
      <c r="F240" s="41" t="str">
        <f aca="false">IF($H240="","",IF(INDEX(Задачи!$F$1:$F$501,$H240)="","",INDEX(Задачи!$F$1:$F$501,$H240)))</f>
        <v/>
      </c>
      <c r="G240" s="40" t="str">
        <f aca="false">IF($H240="","",INDEX(Задачи!$I$1:$I$501,$H240)&amp;"")</f>
        <v/>
      </c>
      <c r="H240" s="20" t="str">
        <f aca="false">IFERROR(MOD(LARGE(Задачи!$P$2:$P$501,ROWS(H$5:H240)),1000),"")</f>
        <v/>
      </c>
    </row>
    <row r="241" customFormat="false" ht="30" hidden="false" customHeight="true" outlineLevel="0" collapsed="false">
      <c r="A241" s="39" t="str">
        <f aca="false">IF($H241="","",ROWS(A$5:A241))</f>
        <v/>
      </c>
      <c r="B241" s="40" t="str">
        <f aca="false">IF($H241="","",INDEX(Задачи!$A$1:$A$501,$H241)&amp;"")</f>
        <v/>
      </c>
      <c r="C241" s="40" t="str">
        <f aca="false">IF($H241="","",INDEX(Задачи!$B$1:$B$501,$H241)&amp;"")</f>
        <v/>
      </c>
      <c r="D241" s="39" t="str">
        <f aca="false">IF($H241="","",INDEX(Задачи!$C$1:$C$501,$H241)&amp;"")</f>
        <v/>
      </c>
      <c r="E241" s="41" t="str">
        <f aca="false">IF($H241="","",IF(INDEX(Задачи!$E$1:$E$501,$H241)="","",INDEX(Задачи!$E$1:$E$501,$H241)))</f>
        <v/>
      </c>
      <c r="F241" s="41" t="str">
        <f aca="false">IF($H241="","",IF(INDEX(Задачи!$F$1:$F$501,$H241)="","",INDEX(Задачи!$F$1:$F$501,$H241)))</f>
        <v/>
      </c>
      <c r="G241" s="40" t="str">
        <f aca="false">IF($H241="","",INDEX(Задачи!$I$1:$I$501,$H241)&amp;"")</f>
        <v/>
      </c>
      <c r="H241" s="20" t="str">
        <f aca="false">IFERROR(MOD(LARGE(Задачи!$P$2:$P$501,ROWS(H$5:H241)),1000),"")</f>
        <v/>
      </c>
    </row>
    <row r="242" customFormat="false" ht="30" hidden="false" customHeight="true" outlineLevel="0" collapsed="false">
      <c r="A242" s="39" t="str">
        <f aca="false">IF($H242="","",ROWS(A$5:A242))</f>
        <v/>
      </c>
      <c r="B242" s="40" t="str">
        <f aca="false">IF($H242="","",INDEX(Задачи!$A$1:$A$501,$H242)&amp;"")</f>
        <v/>
      </c>
      <c r="C242" s="40" t="str">
        <f aca="false">IF($H242="","",INDEX(Задачи!$B$1:$B$501,$H242)&amp;"")</f>
        <v/>
      </c>
      <c r="D242" s="39" t="str">
        <f aca="false">IF($H242="","",INDEX(Задачи!$C$1:$C$501,$H242)&amp;"")</f>
        <v/>
      </c>
      <c r="E242" s="41" t="str">
        <f aca="false">IF($H242="","",IF(INDEX(Задачи!$E$1:$E$501,$H242)="","",INDEX(Задачи!$E$1:$E$501,$H242)))</f>
        <v/>
      </c>
      <c r="F242" s="41" t="str">
        <f aca="false">IF($H242="","",IF(INDEX(Задачи!$F$1:$F$501,$H242)="","",INDEX(Задачи!$F$1:$F$501,$H242)))</f>
        <v/>
      </c>
      <c r="G242" s="40" t="str">
        <f aca="false">IF($H242="","",INDEX(Задачи!$I$1:$I$501,$H242)&amp;"")</f>
        <v/>
      </c>
      <c r="H242" s="20" t="str">
        <f aca="false">IFERROR(MOD(LARGE(Задачи!$P$2:$P$501,ROWS(H$5:H242)),1000),"")</f>
        <v/>
      </c>
    </row>
    <row r="243" customFormat="false" ht="30" hidden="false" customHeight="true" outlineLevel="0" collapsed="false">
      <c r="A243" s="39" t="str">
        <f aca="false">IF($H243="","",ROWS(A$5:A243))</f>
        <v/>
      </c>
      <c r="B243" s="40" t="str">
        <f aca="false">IF($H243="","",INDEX(Задачи!$A$1:$A$501,$H243)&amp;"")</f>
        <v/>
      </c>
      <c r="C243" s="40" t="str">
        <f aca="false">IF($H243="","",INDEX(Задачи!$B$1:$B$501,$H243)&amp;"")</f>
        <v/>
      </c>
      <c r="D243" s="39" t="str">
        <f aca="false">IF($H243="","",INDEX(Задачи!$C$1:$C$501,$H243)&amp;"")</f>
        <v/>
      </c>
      <c r="E243" s="41" t="str">
        <f aca="false">IF($H243="","",IF(INDEX(Задачи!$E$1:$E$501,$H243)="","",INDEX(Задачи!$E$1:$E$501,$H243)))</f>
        <v/>
      </c>
      <c r="F243" s="41" t="str">
        <f aca="false">IF($H243="","",IF(INDEX(Задачи!$F$1:$F$501,$H243)="","",INDEX(Задачи!$F$1:$F$501,$H243)))</f>
        <v/>
      </c>
      <c r="G243" s="40" t="str">
        <f aca="false">IF($H243="","",INDEX(Задачи!$I$1:$I$501,$H243)&amp;"")</f>
        <v/>
      </c>
      <c r="H243" s="20" t="str">
        <f aca="false">IFERROR(MOD(LARGE(Задачи!$P$2:$P$501,ROWS(H$5:H243)),1000),"")</f>
        <v/>
      </c>
    </row>
    <row r="244" customFormat="false" ht="30" hidden="false" customHeight="true" outlineLevel="0" collapsed="false">
      <c r="A244" s="39" t="str">
        <f aca="false">IF($H244="","",ROWS(A$5:A244))</f>
        <v/>
      </c>
      <c r="B244" s="40" t="str">
        <f aca="false">IF($H244="","",INDEX(Задачи!$A$1:$A$501,$H244)&amp;"")</f>
        <v/>
      </c>
      <c r="C244" s="40" t="str">
        <f aca="false">IF($H244="","",INDEX(Задачи!$B$1:$B$501,$H244)&amp;"")</f>
        <v/>
      </c>
      <c r="D244" s="39" t="str">
        <f aca="false">IF($H244="","",INDEX(Задачи!$C$1:$C$501,$H244)&amp;"")</f>
        <v/>
      </c>
      <c r="E244" s="41" t="str">
        <f aca="false">IF($H244="","",IF(INDEX(Задачи!$E$1:$E$501,$H244)="","",INDEX(Задачи!$E$1:$E$501,$H244)))</f>
        <v/>
      </c>
      <c r="F244" s="41" t="str">
        <f aca="false">IF($H244="","",IF(INDEX(Задачи!$F$1:$F$501,$H244)="","",INDEX(Задачи!$F$1:$F$501,$H244)))</f>
        <v/>
      </c>
      <c r="G244" s="40" t="str">
        <f aca="false">IF($H244="","",INDEX(Задачи!$I$1:$I$501,$H244)&amp;"")</f>
        <v/>
      </c>
      <c r="H244" s="20" t="str">
        <f aca="false">IFERROR(MOD(LARGE(Задачи!$P$2:$P$501,ROWS(H$5:H244)),1000),"")</f>
        <v/>
      </c>
    </row>
    <row r="245" customFormat="false" ht="30" hidden="false" customHeight="true" outlineLevel="0" collapsed="false">
      <c r="A245" s="39" t="str">
        <f aca="false">IF($H245="","",ROWS(A$5:A245))</f>
        <v/>
      </c>
      <c r="B245" s="40" t="str">
        <f aca="false">IF($H245="","",INDEX(Задачи!$A$1:$A$501,$H245)&amp;"")</f>
        <v/>
      </c>
      <c r="C245" s="40" t="str">
        <f aca="false">IF($H245="","",INDEX(Задачи!$B$1:$B$501,$H245)&amp;"")</f>
        <v/>
      </c>
      <c r="D245" s="39" t="str">
        <f aca="false">IF($H245="","",INDEX(Задачи!$C$1:$C$501,$H245)&amp;"")</f>
        <v/>
      </c>
      <c r="E245" s="41" t="str">
        <f aca="false">IF($H245="","",IF(INDEX(Задачи!$E$1:$E$501,$H245)="","",INDEX(Задачи!$E$1:$E$501,$H245)))</f>
        <v/>
      </c>
      <c r="F245" s="41" t="str">
        <f aca="false">IF($H245="","",IF(INDEX(Задачи!$F$1:$F$501,$H245)="","",INDEX(Задачи!$F$1:$F$501,$H245)))</f>
        <v/>
      </c>
      <c r="G245" s="40" t="str">
        <f aca="false">IF($H245="","",INDEX(Задачи!$I$1:$I$501,$H245)&amp;"")</f>
        <v/>
      </c>
      <c r="H245" s="20" t="str">
        <f aca="false">IFERROR(MOD(LARGE(Задачи!$P$2:$P$501,ROWS(H$5:H245)),1000),"")</f>
        <v/>
      </c>
    </row>
    <row r="246" customFormat="false" ht="30" hidden="false" customHeight="true" outlineLevel="0" collapsed="false">
      <c r="A246" s="39" t="str">
        <f aca="false">IF($H246="","",ROWS(A$5:A246))</f>
        <v/>
      </c>
      <c r="B246" s="40" t="str">
        <f aca="false">IF($H246="","",INDEX(Задачи!$A$1:$A$501,$H246)&amp;"")</f>
        <v/>
      </c>
      <c r="C246" s="40" t="str">
        <f aca="false">IF($H246="","",INDEX(Задачи!$B$1:$B$501,$H246)&amp;"")</f>
        <v/>
      </c>
      <c r="D246" s="39" t="str">
        <f aca="false">IF($H246="","",INDEX(Задачи!$C$1:$C$501,$H246)&amp;"")</f>
        <v/>
      </c>
      <c r="E246" s="41" t="str">
        <f aca="false">IF($H246="","",IF(INDEX(Задачи!$E$1:$E$501,$H246)="","",INDEX(Задачи!$E$1:$E$501,$H246)))</f>
        <v/>
      </c>
      <c r="F246" s="41" t="str">
        <f aca="false">IF($H246="","",IF(INDEX(Задачи!$F$1:$F$501,$H246)="","",INDEX(Задачи!$F$1:$F$501,$H246)))</f>
        <v/>
      </c>
      <c r="G246" s="40" t="str">
        <f aca="false">IF($H246="","",INDEX(Задачи!$I$1:$I$501,$H246)&amp;"")</f>
        <v/>
      </c>
      <c r="H246" s="20" t="str">
        <f aca="false">IFERROR(MOD(LARGE(Задачи!$P$2:$P$501,ROWS(H$5:H246)),1000),"")</f>
        <v/>
      </c>
    </row>
    <row r="247" customFormat="false" ht="30" hidden="false" customHeight="true" outlineLevel="0" collapsed="false">
      <c r="A247" s="39" t="str">
        <f aca="false">IF($H247="","",ROWS(A$5:A247))</f>
        <v/>
      </c>
      <c r="B247" s="40" t="str">
        <f aca="false">IF($H247="","",INDEX(Задачи!$A$1:$A$501,$H247)&amp;"")</f>
        <v/>
      </c>
      <c r="C247" s="40" t="str">
        <f aca="false">IF($H247="","",INDEX(Задачи!$B$1:$B$501,$H247)&amp;"")</f>
        <v/>
      </c>
      <c r="D247" s="39" t="str">
        <f aca="false">IF($H247="","",INDEX(Задачи!$C$1:$C$501,$H247)&amp;"")</f>
        <v/>
      </c>
      <c r="E247" s="41" t="str">
        <f aca="false">IF($H247="","",IF(INDEX(Задачи!$E$1:$E$501,$H247)="","",INDEX(Задачи!$E$1:$E$501,$H247)))</f>
        <v/>
      </c>
      <c r="F247" s="41" t="str">
        <f aca="false">IF($H247="","",IF(INDEX(Задачи!$F$1:$F$501,$H247)="","",INDEX(Задачи!$F$1:$F$501,$H247)))</f>
        <v/>
      </c>
      <c r="G247" s="40" t="str">
        <f aca="false">IF($H247="","",INDEX(Задачи!$I$1:$I$501,$H247)&amp;"")</f>
        <v/>
      </c>
      <c r="H247" s="20" t="str">
        <f aca="false">IFERROR(MOD(LARGE(Задачи!$P$2:$P$501,ROWS(H$5:H247)),1000),"")</f>
        <v/>
      </c>
    </row>
    <row r="248" customFormat="false" ht="30" hidden="false" customHeight="true" outlineLevel="0" collapsed="false">
      <c r="A248" s="39" t="str">
        <f aca="false">IF($H248="","",ROWS(A$5:A248))</f>
        <v/>
      </c>
      <c r="B248" s="40" t="str">
        <f aca="false">IF($H248="","",INDEX(Задачи!$A$1:$A$501,$H248)&amp;"")</f>
        <v/>
      </c>
      <c r="C248" s="40" t="str">
        <f aca="false">IF($H248="","",INDEX(Задачи!$B$1:$B$501,$H248)&amp;"")</f>
        <v/>
      </c>
      <c r="D248" s="39" t="str">
        <f aca="false">IF($H248="","",INDEX(Задачи!$C$1:$C$501,$H248)&amp;"")</f>
        <v/>
      </c>
      <c r="E248" s="41" t="str">
        <f aca="false">IF($H248="","",IF(INDEX(Задачи!$E$1:$E$501,$H248)="","",INDEX(Задачи!$E$1:$E$501,$H248)))</f>
        <v/>
      </c>
      <c r="F248" s="41" t="str">
        <f aca="false">IF($H248="","",IF(INDEX(Задачи!$F$1:$F$501,$H248)="","",INDEX(Задачи!$F$1:$F$501,$H248)))</f>
        <v/>
      </c>
      <c r="G248" s="40" t="str">
        <f aca="false">IF($H248="","",INDEX(Задачи!$I$1:$I$501,$H248)&amp;"")</f>
        <v/>
      </c>
      <c r="H248" s="20" t="str">
        <f aca="false">IFERROR(MOD(LARGE(Задачи!$P$2:$P$501,ROWS(H$5:H248)),1000),"")</f>
        <v/>
      </c>
    </row>
    <row r="249" customFormat="false" ht="30" hidden="false" customHeight="true" outlineLevel="0" collapsed="false">
      <c r="A249" s="39" t="str">
        <f aca="false">IF($H249="","",ROWS(A$5:A249))</f>
        <v/>
      </c>
      <c r="B249" s="40" t="str">
        <f aca="false">IF($H249="","",INDEX(Задачи!$A$1:$A$501,$H249)&amp;"")</f>
        <v/>
      </c>
      <c r="C249" s="40" t="str">
        <f aca="false">IF($H249="","",INDEX(Задачи!$B$1:$B$501,$H249)&amp;"")</f>
        <v/>
      </c>
      <c r="D249" s="39" t="str">
        <f aca="false">IF($H249="","",INDEX(Задачи!$C$1:$C$501,$H249)&amp;"")</f>
        <v/>
      </c>
      <c r="E249" s="41" t="str">
        <f aca="false">IF($H249="","",IF(INDEX(Задачи!$E$1:$E$501,$H249)="","",INDEX(Задачи!$E$1:$E$501,$H249)))</f>
        <v/>
      </c>
      <c r="F249" s="41" t="str">
        <f aca="false">IF($H249="","",IF(INDEX(Задачи!$F$1:$F$501,$H249)="","",INDEX(Задачи!$F$1:$F$501,$H249)))</f>
        <v/>
      </c>
      <c r="G249" s="40" t="str">
        <f aca="false">IF($H249="","",INDEX(Задачи!$I$1:$I$501,$H249)&amp;"")</f>
        <v/>
      </c>
      <c r="H249" s="20" t="str">
        <f aca="false">IFERROR(MOD(LARGE(Задачи!$P$2:$P$501,ROWS(H$5:H249)),1000),"")</f>
        <v/>
      </c>
    </row>
    <row r="250" customFormat="false" ht="30" hidden="false" customHeight="true" outlineLevel="0" collapsed="false">
      <c r="A250" s="39" t="str">
        <f aca="false">IF($H250="","",ROWS(A$5:A250))</f>
        <v/>
      </c>
      <c r="B250" s="40" t="str">
        <f aca="false">IF($H250="","",INDEX(Задачи!$A$1:$A$501,$H250)&amp;"")</f>
        <v/>
      </c>
      <c r="C250" s="40" t="str">
        <f aca="false">IF($H250="","",INDEX(Задачи!$B$1:$B$501,$H250)&amp;"")</f>
        <v/>
      </c>
      <c r="D250" s="39" t="str">
        <f aca="false">IF($H250="","",INDEX(Задачи!$C$1:$C$501,$H250)&amp;"")</f>
        <v/>
      </c>
      <c r="E250" s="41" t="str">
        <f aca="false">IF($H250="","",IF(INDEX(Задачи!$E$1:$E$501,$H250)="","",INDEX(Задачи!$E$1:$E$501,$H250)))</f>
        <v/>
      </c>
      <c r="F250" s="41" t="str">
        <f aca="false">IF($H250="","",IF(INDEX(Задачи!$F$1:$F$501,$H250)="","",INDEX(Задачи!$F$1:$F$501,$H250)))</f>
        <v/>
      </c>
      <c r="G250" s="40" t="str">
        <f aca="false">IF($H250="","",INDEX(Задачи!$I$1:$I$501,$H250)&amp;"")</f>
        <v/>
      </c>
      <c r="H250" s="20" t="str">
        <f aca="false">IFERROR(MOD(LARGE(Задачи!$P$2:$P$501,ROWS(H$5:H250)),1000),"")</f>
        <v/>
      </c>
    </row>
    <row r="251" customFormat="false" ht="30" hidden="false" customHeight="true" outlineLevel="0" collapsed="false">
      <c r="A251" s="39" t="str">
        <f aca="false">IF($H251="","",ROWS(A$5:A251))</f>
        <v/>
      </c>
      <c r="B251" s="40" t="str">
        <f aca="false">IF($H251="","",INDEX(Задачи!$A$1:$A$501,$H251)&amp;"")</f>
        <v/>
      </c>
      <c r="C251" s="40" t="str">
        <f aca="false">IF($H251="","",INDEX(Задачи!$B$1:$B$501,$H251)&amp;"")</f>
        <v/>
      </c>
      <c r="D251" s="39" t="str">
        <f aca="false">IF($H251="","",INDEX(Задачи!$C$1:$C$501,$H251)&amp;"")</f>
        <v/>
      </c>
      <c r="E251" s="41" t="str">
        <f aca="false">IF($H251="","",IF(INDEX(Задачи!$E$1:$E$501,$H251)="","",INDEX(Задачи!$E$1:$E$501,$H251)))</f>
        <v/>
      </c>
      <c r="F251" s="41" t="str">
        <f aca="false">IF($H251="","",IF(INDEX(Задачи!$F$1:$F$501,$H251)="","",INDEX(Задачи!$F$1:$F$501,$H251)))</f>
        <v/>
      </c>
      <c r="G251" s="40" t="str">
        <f aca="false">IF($H251="","",INDEX(Задачи!$I$1:$I$501,$H251)&amp;"")</f>
        <v/>
      </c>
      <c r="H251" s="20" t="str">
        <f aca="false">IFERROR(MOD(LARGE(Задачи!$P$2:$P$501,ROWS(H$5:H251)),1000),"")</f>
        <v/>
      </c>
    </row>
    <row r="252" customFormat="false" ht="30" hidden="false" customHeight="true" outlineLevel="0" collapsed="false">
      <c r="A252" s="39" t="str">
        <f aca="false">IF($H252="","",ROWS(A$5:A252))</f>
        <v/>
      </c>
      <c r="B252" s="40" t="str">
        <f aca="false">IF($H252="","",INDEX(Задачи!$A$1:$A$501,$H252)&amp;"")</f>
        <v/>
      </c>
      <c r="C252" s="40" t="str">
        <f aca="false">IF($H252="","",INDEX(Задачи!$B$1:$B$501,$H252)&amp;"")</f>
        <v/>
      </c>
      <c r="D252" s="39" t="str">
        <f aca="false">IF($H252="","",INDEX(Задачи!$C$1:$C$501,$H252)&amp;"")</f>
        <v/>
      </c>
      <c r="E252" s="41" t="str">
        <f aca="false">IF($H252="","",IF(INDEX(Задачи!$E$1:$E$501,$H252)="","",INDEX(Задачи!$E$1:$E$501,$H252)))</f>
        <v/>
      </c>
      <c r="F252" s="41" t="str">
        <f aca="false">IF($H252="","",IF(INDEX(Задачи!$F$1:$F$501,$H252)="","",INDEX(Задачи!$F$1:$F$501,$H252)))</f>
        <v/>
      </c>
      <c r="G252" s="40" t="str">
        <f aca="false">IF($H252="","",INDEX(Задачи!$I$1:$I$501,$H252)&amp;"")</f>
        <v/>
      </c>
      <c r="H252" s="20" t="str">
        <f aca="false">IFERROR(MOD(LARGE(Задачи!$P$2:$P$501,ROWS(H$5:H252)),1000),"")</f>
        <v/>
      </c>
    </row>
    <row r="253" customFormat="false" ht="30" hidden="false" customHeight="true" outlineLevel="0" collapsed="false">
      <c r="A253" s="39" t="str">
        <f aca="false">IF($H253="","",ROWS(A$5:A253))</f>
        <v/>
      </c>
      <c r="B253" s="40" t="str">
        <f aca="false">IF($H253="","",INDEX(Задачи!$A$1:$A$501,$H253)&amp;"")</f>
        <v/>
      </c>
      <c r="C253" s="40" t="str">
        <f aca="false">IF($H253="","",INDEX(Задачи!$B$1:$B$501,$H253)&amp;"")</f>
        <v/>
      </c>
      <c r="D253" s="39" t="str">
        <f aca="false">IF($H253="","",INDEX(Задачи!$C$1:$C$501,$H253)&amp;"")</f>
        <v/>
      </c>
      <c r="E253" s="41" t="str">
        <f aca="false">IF($H253="","",IF(INDEX(Задачи!$E$1:$E$501,$H253)="","",INDEX(Задачи!$E$1:$E$501,$H253)))</f>
        <v/>
      </c>
      <c r="F253" s="41" t="str">
        <f aca="false">IF($H253="","",IF(INDEX(Задачи!$F$1:$F$501,$H253)="","",INDEX(Задачи!$F$1:$F$501,$H253)))</f>
        <v/>
      </c>
      <c r="G253" s="40" t="str">
        <f aca="false">IF($H253="","",INDEX(Задачи!$I$1:$I$501,$H253)&amp;"")</f>
        <v/>
      </c>
      <c r="H253" s="20" t="str">
        <f aca="false">IFERROR(MOD(LARGE(Задачи!$P$2:$P$501,ROWS(H$5:H253)),1000),"")</f>
        <v/>
      </c>
    </row>
    <row r="254" customFormat="false" ht="30" hidden="false" customHeight="true" outlineLevel="0" collapsed="false">
      <c r="A254" s="39" t="str">
        <f aca="false">IF($H254="","",ROWS(A$5:A254))</f>
        <v/>
      </c>
      <c r="B254" s="40" t="str">
        <f aca="false">IF($H254="","",INDEX(Задачи!$A$1:$A$501,$H254)&amp;"")</f>
        <v/>
      </c>
      <c r="C254" s="40" t="str">
        <f aca="false">IF($H254="","",INDEX(Задачи!$B$1:$B$501,$H254)&amp;"")</f>
        <v/>
      </c>
      <c r="D254" s="39" t="str">
        <f aca="false">IF($H254="","",INDEX(Задачи!$C$1:$C$501,$H254)&amp;"")</f>
        <v/>
      </c>
      <c r="E254" s="41" t="str">
        <f aca="false">IF($H254="","",IF(INDEX(Задачи!$E$1:$E$501,$H254)="","",INDEX(Задачи!$E$1:$E$501,$H254)))</f>
        <v/>
      </c>
      <c r="F254" s="41" t="str">
        <f aca="false">IF($H254="","",IF(INDEX(Задачи!$F$1:$F$501,$H254)="","",INDEX(Задачи!$F$1:$F$501,$H254)))</f>
        <v/>
      </c>
      <c r="G254" s="40" t="str">
        <f aca="false">IF($H254="","",INDEX(Задачи!$I$1:$I$501,$H254)&amp;"")</f>
        <v/>
      </c>
      <c r="H254" s="20" t="str">
        <f aca="false">IFERROR(MOD(LARGE(Задачи!$P$2:$P$501,ROWS(H$5:H254)),1000),"")</f>
        <v/>
      </c>
    </row>
    <row r="255" customFormat="false" ht="30" hidden="false" customHeight="true" outlineLevel="0" collapsed="false">
      <c r="A255" s="39" t="str">
        <f aca="false">IF($H255="","",ROWS(A$5:A255))</f>
        <v/>
      </c>
      <c r="B255" s="40" t="str">
        <f aca="false">IF($H255="","",INDEX(Задачи!$A$1:$A$501,$H255)&amp;"")</f>
        <v/>
      </c>
      <c r="C255" s="40" t="str">
        <f aca="false">IF($H255="","",INDEX(Задачи!$B$1:$B$501,$H255)&amp;"")</f>
        <v/>
      </c>
      <c r="D255" s="39" t="str">
        <f aca="false">IF($H255="","",INDEX(Задачи!$C$1:$C$501,$H255)&amp;"")</f>
        <v/>
      </c>
      <c r="E255" s="41" t="str">
        <f aca="false">IF($H255="","",IF(INDEX(Задачи!$E$1:$E$501,$H255)="","",INDEX(Задачи!$E$1:$E$501,$H255)))</f>
        <v/>
      </c>
      <c r="F255" s="41" t="str">
        <f aca="false">IF($H255="","",IF(INDEX(Задачи!$F$1:$F$501,$H255)="","",INDEX(Задачи!$F$1:$F$501,$H255)))</f>
        <v/>
      </c>
      <c r="G255" s="40" t="str">
        <f aca="false">IF($H255="","",INDEX(Задачи!$I$1:$I$501,$H255)&amp;"")</f>
        <v/>
      </c>
      <c r="H255" s="20" t="str">
        <f aca="false">IFERROR(MOD(LARGE(Задачи!$P$2:$P$501,ROWS(H$5:H255)),1000),"")</f>
        <v/>
      </c>
    </row>
    <row r="256" customFormat="false" ht="30" hidden="false" customHeight="true" outlineLevel="0" collapsed="false">
      <c r="A256" s="39" t="str">
        <f aca="false">IF($H256="","",ROWS(A$5:A256))</f>
        <v/>
      </c>
      <c r="B256" s="40" t="str">
        <f aca="false">IF($H256="","",INDEX(Задачи!$A$1:$A$501,$H256)&amp;"")</f>
        <v/>
      </c>
      <c r="C256" s="40" t="str">
        <f aca="false">IF($H256="","",INDEX(Задачи!$B$1:$B$501,$H256)&amp;"")</f>
        <v/>
      </c>
      <c r="D256" s="39" t="str">
        <f aca="false">IF($H256="","",INDEX(Задачи!$C$1:$C$501,$H256)&amp;"")</f>
        <v/>
      </c>
      <c r="E256" s="41" t="str">
        <f aca="false">IF($H256="","",IF(INDEX(Задачи!$E$1:$E$501,$H256)="","",INDEX(Задачи!$E$1:$E$501,$H256)))</f>
        <v/>
      </c>
      <c r="F256" s="41" t="str">
        <f aca="false">IF($H256="","",IF(INDEX(Задачи!$F$1:$F$501,$H256)="","",INDEX(Задачи!$F$1:$F$501,$H256)))</f>
        <v/>
      </c>
      <c r="G256" s="40" t="str">
        <f aca="false">IF($H256="","",INDEX(Задачи!$I$1:$I$501,$H256)&amp;"")</f>
        <v/>
      </c>
      <c r="H256" s="20" t="str">
        <f aca="false">IFERROR(MOD(LARGE(Задачи!$P$2:$P$501,ROWS(H$5:H256)),1000),"")</f>
        <v/>
      </c>
    </row>
    <row r="257" customFormat="false" ht="30" hidden="false" customHeight="true" outlineLevel="0" collapsed="false">
      <c r="A257" s="39" t="str">
        <f aca="false">IF($H257="","",ROWS(A$5:A257))</f>
        <v/>
      </c>
      <c r="B257" s="40" t="str">
        <f aca="false">IF($H257="","",INDEX(Задачи!$A$1:$A$501,$H257)&amp;"")</f>
        <v/>
      </c>
      <c r="C257" s="40" t="str">
        <f aca="false">IF($H257="","",INDEX(Задачи!$B$1:$B$501,$H257)&amp;"")</f>
        <v/>
      </c>
      <c r="D257" s="39" t="str">
        <f aca="false">IF($H257="","",INDEX(Задачи!$C$1:$C$501,$H257)&amp;"")</f>
        <v/>
      </c>
      <c r="E257" s="41" t="str">
        <f aca="false">IF($H257="","",IF(INDEX(Задачи!$E$1:$E$501,$H257)="","",INDEX(Задачи!$E$1:$E$501,$H257)))</f>
        <v/>
      </c>
      <c r="F257" s="41" t="str">
        <f aca="false">IF($H257="","",IF(INDEX(Задачи!$F$1:$F$501,$H257)="","",INDEX(Задачи!$F$1:$F$501,$H257)))</f>
        <v/>
      </c>
      <c r="G257" s="40" t="str">
        <f aca="false">IF($H257="","",INDEX(Задачи!$I$1:$I$501,$H257)&amp;"")</f>
        <v/>
      </c>
      <c r="H257" s="20" t="str">
        <f aca="false">IFERROR(MOD(LARGE(Задачи!$P$2:$P$501,ROWS(H$5:H257)),1000),"")</f>
        <v/>
      </c>
    </row>
    <row r="258" customFormat="false" ht="30" hidden="false" customHeight="true" outlineLevel="0" collapsed="false">
      <c r="A258" s="39" t="str">
        <f aca="false">IF($H258="","",ROWS(A$5:A258))</f>
        <v/>
      </c>
      <c r="B258" s="40" t="str">
        <f aca="false">IF($H258="","",INDEX(Задачи!$A$1:$A$501,$H258)&amp;"")</f>
        <v/>
      </c>
      <c r="C258" s="40" t="str">
        <f aca="false">IF($H258="","",INDEX(Задачи!$B$1:$B$501,$H258)&amp;"")</f>
        <v/>
      </c>
      <c r="D258" s="39" t="str">
        <f aca="false">IF($H258="","",INDEX(Задачи!$C$1:$C$501,$H258)&amp;"")</f>
        <v/>
      </c>
      <c r="E258" s="41" t="str">
        <f aca="false">IF($H258="","",IF(INDEX(Задачи!$E$1:$E$501,$H258)="","",INDEX(Задачи!$E$1:$E$501,$H258)))</f>
        <v/>
      </c>
      <c r="F258" s="41" t="str">
        <f aca="false">IF($H258="","",IF(INDEX(Задачи!$F$1:$F$501,$H258)="","",INDEX(Задачи!$F$1:$F$501,$H258)))</f>
        <v/>
      </c>
      <c r="G258" s="40" t="str">
        <f aca="false">IF($H258="","",INDEX(Задачи!$I$1:$I$501,$H258)&amp;"")</f>
        <v/>
      </c>
      <c r="H258" s="20" t="str">
        <f aca="false">IFERROR(MOD(LARGE(Задачи!$P$2:$P$501,ROWS(H$5:H258)),1000),"")</f>
        <v/>
      </c>
    </row>
    <row r="259" customFormat="false" ht="30" hidden="false" customHeight="true" outlineLevel="0" collapsed="false">
      <c r="A259" s="39" t="str">
        <f aca="false">IF($H259="","",ROWS(A$5:A259))</f>
        <v/>
      </c>
      <c r="B259" s="40" t="str">
        <f aca="false">IF($H259="","",INDEX(Задачи!$A$1:$A$501,$H259)&amp;"")</f>
        <v/>
      </c>
      <c r="C259" s="40" t="str">
        <f aca="false">IF($H259="","",INDEX(Задачи!$B$1:$B$501,$H259)&amp;"")</f>
        <v/>
      </c>
      <c r="D259" s="39" t="str">
        <f aca="false">IF($H259="","",INDEX(Задачи!$C$1:$C$501,$H259)&amp;"")</f>
        <v/>
      </c>
      <c r="E259" s="41" t="str">
        <f aca="false">IF($H259="","",IF(INDEX(Задачи!$E$1:$E$501,$H259)="","",INDEX(Задачи!$E$1:$E$501,$H259)))</f>
        <v/>
      </c>
      <c r="F259" s="41" t="str">
        <f aca="false">IF($H259="","",IF(INDEX(Задачи!$F$1:$F$501,$H259)="","",INDEX(Задачи!$F$1:$F$501,$H259)))</f>
        <v/>
      </c>
      <c r="G259" s="40" t="str">
        <f aca="false">IF($H259="","",INDEX(Задачи!$I$1:$I$501,$H259)&amp;"")</f>
        <v/>
      </c>
      <c r="H259" s="20" t="str">
        <f aca="false">IFERROR(MOD(LARGE(Задачи!$P$2:$P$501,ROWS(H$5:H259)),1000),"")</f>
        <v/>
      </c>
    </row>
    <row r="260" customFormat="false" ht="30" hidden="false" customHeight="true" outlineLevel="0" collapsed="false">
      <c r="A260" s="39" t="str">
        <f aca="false">IF($H260="","",ROWS(A$5:A260))</f>
        <v/>
      </c>
      <c r="B260" s="40" t="str">
        <f aca="false">IF($H260="","",INDEX(Задачи!$A$1:$A$501,$H260)&amp;"")</f>
        <v/>
      </c>
      <c r="C260" s="40" t="str">
        <f aca="false">IF($H260="","",INDEX(Задачи!$B$1:$B$501,$H260)&amp;"")</f>
        <v/>
      </c>
      <c r="D260" s="39" t="str">
        <f aca="false">IF($H260="","",INDEX(Задачи!$C$1:$C$501,$H260)&amp;"")</f>
        <v/>
      </c>
      <c r="E260" s="41" t="str">
        <f aca="false">IF($H260="","",IF(INDEX(Задачи!$E$1:$E$501,$H260)="","",INDEX(Задачи!$E$1:$E$501,$H260)))</f>
        <v/>
      </c>
      <c r="F260" s="41" t="str">
        <f aca="false">IF($H260="","",IF(INDEX(Задачи!$F$1:$F$501,$H260)="","",INDEX(Задачи!$F$1:$F$501,$H260)))</f>
        <v/>
      </c>
      <c r="G260" s="40" t="str">
        <f aca="false">IF($H260="","",INDEX(Задачи!$I$1:$I$501,$H260)&amp;"")</f>
        <v/>
      </c>
      <c r="H260" s="20" t="str">
        <f aca="false">IFERROR(MOD(LARGE(Задачи!$P$2:$P$501,ROWS(H$5:H260)),1000),"")</f>
        <v/>
      </c>
    </row>
    <row r="261" customFormat="false" ht="30" hidden="false" customHeight="true" outlineLevel="0" collapsed="false">
      <c r="A261" s="39" t="str">
        <f aca="false">IF($H261="","",ROWS(A$5:A261))</f>
        <v/>
      </c>
      <c r="B261" s="40" t="str">
        <f aca="false">IF($H261="","",INDEX(Задачи!$A$1:$A$501,$H261)&amp;"")</f>
        <v/>
      </c>
      <c r="C261" s="40" t="str">
        <f aca="false">IF($H261="","",INDEX(Задачи!$B$1:$B$501,$H261)&amp;"")</f>
        <v/>
      </c>
      <c r="D261" s="39" t="str">
        <f aca="false">IF($H261="","",INDEX(Задачи!$C$1:$C$501,$H261)&amp;"")</f>
        <v/>
      </c>
      <c r="E261" s="41" t="str">
        <f aca="false">IF($H261="","",IF(INDEX(Задачи!$E$1:$E$501,$H261)="","",INDEX(Задачи!$E$1:$E$501,$H261)))</f>
        <v/>
      </c>
      <c r="F261" s="41" t="str">
        <f aca="false">IF($H261="","",IF(INDEX(Задачи!$F$1:$F$501,$H261)="","",INDEX(Задачи!$F$1:$F$501,$H261)))</f>
        <v/>
      </c>
      <c r="G261" s="40" t="str">
        <f aca="false">IF($H261="","",INDEX(Задачи!$I$1:$I$501,$H261)&amp;"")</f>
        <v/>
      </c>
      <c r="H261" s="20" t="str">
        <f aca="false">IFERROR(MOD(LARGE(Задачи!$P$2:$P$501,ROWS(H$5:H261)),1000),"")</f>
        <v/>
      </c>
    </row>
    <row r="262" customFormat="false" ht="30" hidden="false" customHeight="true" outlineLevel="0" collapsed="false">
      <c r="A262" s="39" t="str">
        <f aca="false">IF($H262="","",ROWS(A$5:A262))</f>
        <v/>
      </c>
      <c r="B262" s="40" t="str">
        <f aca="false">IF($H262="","",INDEX(Задачи!$A$1:$A$501,$H262)&amp;"")</f>
        <v/>
      </c>
      <c r="C262" s="40" t="str">
        <f aca="false">IF($H262="","",INDEX(Задачи!$B$1:$B$501,$H262)&amp;"")</f>
        <v/>
      </c>
      <c r="D262" s="39" t="str">
        <f aca="false">IF($H262="","",INDEX(Задачи!$C$1:$C$501,$H262)&amp;"")</f>
        <v/>
      </c>
      <c r="E262" s="41" t="str">
        <f aca="false">IF($H262="","",IF(INDEX(Задачи!$E$1:$E$501,$H262)="","",INDEX(Задачи!$E$1:$E$501,$H262)))</f>
        <v/>
      </c>
      <c r="F262" s="41" t="str">
        <f aca="false">IF($H262="","",IF(INDEX(Задачи!$F$1:$F$501,$H262)="","",INDEX(Задачи!$F$1:$F$501,$H262)))</f>
        <v/>
      </c>
      <c r="G262" s="40" t="str">
        <f aca="false">IF($H262="","",INDEX(Задачи!$I$1:$I$501,$H262)&amp;"")</f>
        <v/>
      </c>
      <c r="H262" s="20" t="str">
        <f aca="false">IFERROR(MOD(LARGE(Задачи!$P$2:$P$501,ROWS(H$5:H262)),1000),"")</f>
        <v/>
      </c>
    </row>
    <row r="263" customFormat="false" ht="30" hidden="false" customHeight="true" outlineLevel="0" collapsed="false">
      <c r="A263" s="39" t="str">
        <f aca="false">IF($H263="","",ROWS(A$5:A263))</f>
        <v/>
      </c>
      <c r="B263" s="40" t="str">
        <f aca="false">IF($H263="","",INDEX(Задачи!$A$1:$A$501,$H263)&amp;"")</f>
        <v/>
      </c>
      <c r="C263" s="40" t="str">
        <f aca="false">IF($H263="","",INDEX(Задачи!$B$1:$B$501,$H263)&amp;"")</f>
        <v/>
      </c>
      <c r="D263" s="39" t="str">
        <f aca="false">IF($H263="","",INDEX(Задачи!$C$1:$C$501,$H263)&amp;"")</f>
        <v/>
      </c>
      <c r="E263" s="41" t="str">
        <f aca="false">IF($H263="","",IF(INDEX(Задачи!$E$1:$E$501,$H263)="","",INDEX(Задачи!$E$1:$E$501,$H263)))</f>
        <v/>
      </c>
      <c r="F263" s="41" t="str">
        <f aca="false">IF($H263="","",IF(INDEX(Задачи!$F$1:$F$501,$H263)="","",INDEX(Задачи!$F$1:$F$501,$H263)))</f>
        <v/>
      </c>
      <c r="G263" s="40" t="str">
        <f aca="false">IF($H263="","",INDEX(Задачи!$I$1:$I$501,$H263)&amp;"")</f>
        <v/>
      </c>
      <c r="H263" s="20" t="str">
        <f aca="false">IFERROR(MOD(LARGE(Задачи!$P$2:$P$501,ROWS(H$5:H263)),1000),"")</f>
        <v/>
      </c>
    </row>
    <row r="264" customFormat="false" ht="30" hidden="false" customHeight="true" outlineLevel="0" collapsed="false">
      <c r="A264" s="39" t="str">
        <f aca="false">IF($H264="","",ROWS(A$5:A264))</f>
        <v/>
      </c>
      <c r="B264" s="40" t="str">
        <f aca="false">IF($H264="","",INDEX(Задачи!$A$1:$A$501,$H264)&amp;"")</f>
        <v/>
      </c>
      <c r="C264" s="40" t="str">
        <f aca="false">IF($H264="","",INDEX(Задачи!$B$1:$B$501,$H264)&amp;"")</f>
        <v/>
      </c>
      <c r="D264" s="39" t="str">
        <f aca="false">IF($H264="","",INDEX(Задачи!$C$1:$C$501,$H264)&amp;"")</f>
        <v/>
      </c>
      <c r="E264" s="41" t="str">
        <f aca="false">IF($H264="","",IF(INDEX(Задачи!$E$1:$E$501,$H264)="","",INDEX(Задачи!$E$1:$E$501,$H264)))</f>
        <v/>
      </c>
      <c r="F264" s="41" t="str">
        <f aca="false">IF($H264="","",IF(INDEX(Задачи!$F$1:$F$501,$H264)="","",INDEX(Задачи!$F$1:$F$501,$H264)))</f>
        <v/>
      </c>
      <c r="G264" s="40" t="str">
        <f aca="false">IF($H264="","",INDEX(Задачи!$I$1:$I$501,$H264)&amp;"")</f>
        <v/>
      </c>
      <c r="H264" s="20" t="str">
        <f aca="false">IFERROR(MOD(LARGE(Задачи!$P$2:$P$501,ROWS(H$5:H264)),1000),"")</f>
        <v/>
      </c>
    </row>
    <row r="265" customFormat="false" ht="30" hidden="false" customHeight="true" outlineLevel="0" collapsed="false">
      <c r="A265" s="39" t="str">
        <f aca="false">IF($H265="","",ROWS(A$5:A265))</f>
        <v/>
      </c>
      <c r="B265" s="40" t="str">
        <f aca="false">IF($H265="","",INDEX(Задачи!$A$1:$A$501,$H265)&amp;"")</f>
        <v/>
      </c>
      <c r="C265" s="40" t="str">
        <f aca="false">IF($H265="","",INDEX(Задачи!$B$1:$B$501,$H265)&amp;"")</f>
        <v/>
      </c>
      <c r="D265" s="39" t="str">
        <f aca="false">IF($H265="","",INDEX(Задачи!$C$1:$C$501,$H265)&amp;"")</f>
        <v/>
      </c>
      <c r="E265" s="41" t="str">
        <f aca="false">IF($H265="","",IF(INDEX(Задачи!$E$1:$E$501,$H265)="","",INDEX(Задачи!$E$1:$E$501,$H265)))</f>
        <v/>
      </c>
      <c r="F265" s="41" t="str">
        <f aca="false">IF($H265="","",IF(INDEX(Задачи!$F$1:$F$501,$H265)="","",INDEX(Задачи!$F$1:$F$501,$H265)))</f>
        <v/>
      </c>
      <c r="G265" s="40" t="str">
        <f aca="false">IF($H265="","",INDEX(Задачи!$I$1:$I$501,$H265)&amp;"")</f>
        <v/>
      </c>
      <c r="H265" s="20" t="str">
        <f aca="false">IFERROR(MOD(LARGE(Задачи!$P$2:$P$501,ROWS(H$5:H265)),1000),"")</f>
        <v/>
      </c>
    </row>
    <row r="266" customFormat="false" ht="30" hidden="false" customHeight="true" outlineLevel="0" collapsed="false">
      <c r="A266" s="39" t="str">
        <f aca="false">IF($H266="","",ROWS(A$5:A266))</f>
        <v/>
      </c>
      <c r="B266" s="40" t="str">
        <f aca="false">IF($H266="","",INDEX(Задачи!$A$1:$A$501,$H266)&amp;"")</f>
        <v/>
      </c>
      <c r="C266" s="40" t="str">
        <f aca="false">IF($H266="","",INDEX(Задачи!$B$1:$B$501,$H266)&amp;"")</f>
        <v/>
      </c>
      <c r="D266" s="39" t="str">
        <f aca="false">IF($H266="","",INDEX(Задачи!$C$1:$C$501,$H266)&amp;"")</f>
        <v/>
      </c>
      <c r="E266" s="41" t="str">
        <f aca="false">IF($H266="","",IF(INDEX(Задачи!$E$1:$E$501,$H266)="","",INDEX(Задачи!$E$1:$E$501,$H266)))</f>
        <v/>
      </c>
      <c r="F266" s="41" t="str">
        <f aca="false">IF($H266="","",IF(INDEX(Задачи!$F$1:$F$501,$H266)="","",INDEX(Задачи!$F$1:$F$501,$H266)))</f>
        <v/>
      </c>
      <c r="G266" s="40" t="str">
        <f aca="false">IF($H266="","",INDEX(Задачи!$I$1:$I$501,$H266)&amp;"")</f>
        <v/>
      </c>
      <c r="H266" s="20" t="str">
        <f aca="false">IFERROR(MOD(LARGE(Задачи!$P$2:$P$501,ROWS(H$5:H266)),1000),"")</f>
        <v/>
      </c>
    </row>
    <row r="267" customFormat="false" ht="30" hidden="false" customHeight="true" outlineLevel="0" collapsed="false">
      <c r="A267" s="39" t="str">
        <f aca="false">IF($H267="","",ROWS(A$5:A267))</f>
        <v/>
      </c>
      <c r="B267" s="40" t="str">
        <f aca="false">IF($H267="","",INDEX(Задачи!$A$1:$A$501,$H267)&amp;"")</f>
        <v/>
      </c>
      <c r="C267" s="40" t="str">
        <f aca="false">IF($H267="","",INDEX(Задачи!$B$1:$B$501,$H267)&amp;"")</f>
        <v/>
      </c>
      <c r="D267" s="39" t="str">
        <f aca="false">IF($H267="","",INDEX(Задачи!$C$1:$C$501,$H267)&amp;"")</f>
        <v/>
      </c>
      <c r="E267" s="41" t="str">
        <f aca="false">IF($H267="","",IF(INDEX(Задачи!$E$1:$E$501,$H267)="","",INDEX(Задачи!$E$1:$E$501,$H267)))</f>
        <v/>
      </c>
      <c r="F267" s="41" t="str">
        <f aca="false">IF($H267="","",IF(INDEX(Задачи!$F$1:$F$501,$H267)="","",INDEX(Задачи!$F$1:$F$501,$H267)))</f>
        <v/>
      </c>
      <c r="G267" s="40" t="str">
        <f aca="false">IF($H267="","",INDEX(Задачи!$I$1:$I$501,$H267)&amp;"")</f>
        <v/>
      </c>
      <c r="H267" s="20" t="str">
        <f aca="false">IFERROR(MOD(LARGE(Задачи!$P$2:$P$501,ROWS(H$5:H267)),1000),"")</f>
        <v/>
      </c>
    </row>
    <row r="268" customFormat="false" ht="30" hidden="false" customHeight="true" outlineLevel="0" collapsed="false">
      <c r="A268" s="39" t="str">
        <f aca="false">IF($H268="","",ROWS(A$5:A268))</f>
        <v/>
      </c>
      <c r="B268" s="40" t="str">
        <f aca="false">IF($H268="","",INDEX(Задачи!$A$1:$A$501,$H268)&amp;"")</f>
        <v/>
      </c>
      <c r="C268" s="40" t="str">
        <f aca="false">IF($H268="","",INDEX(Задачи!$B$1:$B$501,$H268)&amp;"")</f>
        <v/>
      </c>
      <c r="D268" s="39" t="str">
        <f aca="false">IF($H268="","",INDEX(Задачи!$C$1:$C$501,$H268)&amp;"")</f>
        <v/>
      </c>
      <c r="E268" s="41" t="str">
        <f aca="false">IF($H268="","",IF(INDEX(Задачи!$E$1:$E$501,$H268)="","",INDEX(Задачи!$E$1:$E$501,$H268)))</f>
        <v/>
      </c>
      <c r="F268" s="41" t="str">
        <f aca="false">IF($H268="","",IF(INDEX(Задачи!$F$1:$F$501,$H268)="","",INDEX(Задачи!$F$1:$F$501,$H268)))</f>
        <v/>
      </c>
      <c r="G268" s="40" t="str">
        <f aca="false">IF($H268="","",INDEX(Задачи!$I$1:$I$501,$H268)&amp;"")</f>
        <v/>
      </c>
      <c r="H268" s="20" t="str">
        <f aca="false">IFERROR(MOD(LARGE(Задачи!$P$2:$P$501,ROWS(H$5:H268)),1000),"")</f>
        <v/>
      </c>
    </row>
    <row r="269" customFormat="false" ht="30" hidden="false" customHeight="true" outlineLevel="0" collapsed="false">
      <c r="A269" s="39" t="str">
        <f aca="false">IF($H269="","",ROWS(A$5:A269))</f>
        <v/>
      </c>
      <c r="B269" s="40" t="str">
        <f aca="false">IF($H269="","",INDEX(Задачи!$A$1:$A$501,$H269)&amp;"")</f>
        <v/>
      </c>
      <c r="C269" s="40" t="str">
        <f aca="false">IF($H269="","",INDEX(Задачи!$B$1:$B$501,$H269)&amp;"")</f>
        <v/>
      </c>
      <c r="D269" s="39" t="str">
        <f aca="false">IF($H269="","",INDEX(Задачи!$C$1:$C$501,$H269)&amp;"")</f>
        <v/>
      </c>
      <c r="E269" s="41" t="str">
        <f aca="false">IF($H269="","",IF(INDEX(Задачи!$E$1:$E$501,$H269)="","",INDEX(Задачи!$E$1:$E$501,$H269)))</f>
        <v/>
      </c>
      <c r="F269" s="41" t="str">
        <f aca="false">IF($H269="","",IF(INDEX(Задачи!$F$1:$F$501,$H269)="","",INDEX(Задачи!$F$1:$F$501,$H269)))</f>
        <v/>
      </c>
      <c r="G269" s="40" t="str">
        <f aca="false">IF($H269="","",INDEX(Задачи!$I$1:$I$501,$H269)&amp;"")</f>
        <v/>
      </c>
      <c r="H269" s="20" t="str">
        <f aca="false">IFERROR(MOD(LARGE(Задачи!$P$2:$P$501,ROWS(H$5:H269)),1000),"")</f>
        <v/>
      </c>
    </row>
    <row r="270" customFormat="false" ht="30" hidden="false" customHeight="true" outlineLevel="0" collapsed="false">
      <c r="A270" s="39" t="str">
        <f aca="false">IF($H270="","",ROWS(A$5:A270))</f>
        <v/>
      </c>
      <c r="B270" s="40" t="str">
        <f aca="false">IF($H270="","",INDEX(Задачи!$A$1:$A$501,$H270)&amp;"")</f>
        <v/>
      </c>
      <c r="C270" s="40" t="str">
        <f aca="false">IF($H270="","",INDEX(Задачи!$B$1:$B$501,$H270)&amp;"")</f>
        <v/>
      </c>
      <c r="D270" s="39" t="str">
        <f aca="false">IF($H270="","",INDEX(Задачи!$C$1:$C$501,$H270)&amp;"")</f>
        <v/>
      </c>
      <c r="E270" s="41" t="str">
        <f aca="false">IF($H270="","",IF(INDEX(Задачи!$E$1:$E$501,$H270)="","",INDEX(Задачи!$E$1:$E$501,$H270)))</f>
        <v/>
      </c>
      <c r="F270" s="41" t="str">
        <f aca="false">IF($H270="","",IF(INDEX(Задачи!$F$1:$F$501,$H270)="","",INDEX(Задачи!$F$1:$F$501,$H270)))</f>
        <v/>
      </c>
      <c r="G270" s="40" t="str">
        <f aca="false">IF($H270="","",INDEX(Задачи!$I$1:$I$501,$H270)&amp;"")</f>
        <v/>
      </c>
      <c r="H270" s="20" t="str">
        <f aca="false">IFERROR(MOD(LARGE(Задачи!$P$2:$P$501,ROWS(H$5:H270)),1000),"")</f>
        <v/>
      </c>
    </row>
    <row r="271" customFormat="false" ht="30" hidden="false" customHeight="true" outlineLevel="0" collapsed="false">
      <c r="A271" s="39" t="str">
        <f aca="false">IF($H271="","",ROWS(A$5:A271))</f>
        <v/>
      </c>
      <c r="B271" s="40" t="str">
        <f aca="false">IF($H271="","",INDEX(Задачи!$A$1:$A$501,$H271)&amp;"")</f>
        <v/>
      </c>
      <c r="C271" s="40" t="str">
        <f aca="false">IF($H271="","",INDEX(Задачи!$B$1:$B$501,$H271)&amp;"")</f>
        <v/>
      </c>
      <c r="D271" s="39" t="str">
        <f aca="false">IF($H271="","",INDEX(Задачи!$C$1:$C$501,$H271)&amp;"")</f>
        <v/>
      </c>
      <c r="E271" s="41" t="str">
        <f aca="false">IF($H271="","",IF(INDEX(Задачи!$E$1:$E$501,$H271)="","",INDEX(Задачи!$E$1:$E$501,$H271)))</f>
        <v/>
      </c>
      <c r="F271" s="41" t="str">
        <f aca="false">IF($H271="","",IF(INDEX(Задачи!$F$1:$F$501,$H271)="","",INDEX(Задачи!$F$1:$F$501,$H271)))</f>
        <v/>
      </c>
      <c r="G271" s="40" t="str">
        <f aca="false">IF($H271="","",INDEX(Задачи!$I$1:$I$501,$H271)&amp;"")</f>
        <v/>
      </c>
      <c r="H271" s="20" t="str">
        <f aca="false">IFERROR(MOD(LARGE(Задачи!$P$2:$P$501,ROWS(H$5:H271)),1000),"")</f>
        <v/>
      </c>
    </row>
    <row r="272" customFormat="false" ht="30" hidden="false" customHeight="true" outlineLevel="0" collapsed="false">
      <c r="A272" s="39" t="str">
        <f aca="false">IF($H272="","",ROWS(A$5:A272))</f>
        <v/>
      </c>
      <c r="B272" s="40" t="str">
        <f aca="false">IF($H272="","",INDEX(Задачи!$A$1:$A$501,$H272)&amp;"")</f>
        <v/>
      </c>
      <c r="C272" s="40" t="str">
        <f aca="false">IF($H272="","",INDEX(Задачи!$B$1:$B$501,$H272)&amp;"")</f>
        <v/>
      </c>
      <c r="D272" s="39" t="str">
        <f aca="false">IF($H272="","",INDEX(Задачи!$C$1:$C$501,$H272)&amp;"")</f>
        <v/>
      </c>
      <c r="E272" s="41" t="str">
        <f aca="false">IF($H272="","",IF(INDEX(Задачи!$E$1:$E$501,$H272)="","",INDEX(Задачи!$E$1:$E$501,$H272)))</f>
        <v/>
      </c>
      <c r="F272" s="41" t="str">
        <f aca="false">IF($H272="","",IF(INDEX(Задачи!$F$1:$F$501,$H272)="","",INDEX(Задачи!$F$1:$F$501,$H272)))</f>
        <v/>
      </c>
      <c r="G272" s="40" t="str">
        <f aca="false">IF($H272="","",INDEX(Задачи!$I$1:$I$501,$H272)&amp;"")</f>
        <v/>
      </c>
      <c r="H272" s="20" t="str">
        <f aca="false">IFERROR(MOD(LARGE(Задачи!$P$2:$P$501,ROWS(H$5:H272)),1000),"")</f>
        <v/>
      </c>
    </row>
    <row r="273" customFormat="false" ht="30" hidden="false" customHeight="true" outlineLevel="0" collapsed="false">
      <c r="A273" s="39" t="str">
        <f aca="false">IF($H273="","",ROWS(A$5:A273))</f>
        <v/>
      </c>
      <c r="B273" s="40" t="str">
        <f aca="false">IF($H273="","",INDEX(Задачи!$A$1:$A$501,$H273)&amp;"")</f>
        <v/>
      </c>
      <c r="C273" s="40" t="str">
        <f aca="false">IF($H273="","",INDEX(Задачи!$B$1:$B$501,$H273)&amp;"")</f>
        <v/>
      </c>
      <c r="D273" s="39" t="str">
        <f aca="false">IF($H273="","",INDEX(Задачи!$C$1:$C$501,$H273)&amp;"")</f>
        <v/>
      </c>
      <c r="E273" s="41" t="str">
        <f aca="false">IF($H273="","",IF(INDEX(Задачи!$E$1:$E$501,$H273)="","",INDEX(Задачи!$E$1:$E$501,$H273)))</f>
        <v/>
      </c>
      <c r="F273" s="41" t="str">
        <f aca="false">IF($H273="","",IF(INDEX(Задачи!$F$1:$F$501,$H273)="","",INDEX(Задачи!$F$1:$F$501,$H273)))</f>
        <v/>
      </c>
      <c r="G273" s="40" t="str">
        <f aca="false">IF($H273="","",INDEX(Задачи!$I$1:$I$501,$H273)&amp;"")</f>
        <v/>
      </c>
      <c r="H273" s="20" t="str">
        <f aca="false">IFERROR(MOD(LARGE(Задачи!$P$2:$P$501,ROWS(H$5:H273)),1000),"")</f>
        <v/>
      </c>
    </row>
    <row r="274" customFormat="false" ht="30" hidden="false" customHeight="true" outlineLevel="0" collapsed="false">
      <c r="A274" s="39" t="str">
        <f aca="false">IF($H274="","",ROWS(A$5:A274))</f>
        <v/>
      </c>
      <c r="B274" s="40" t="str">
        <f aca="false">IF($H274="","",INDEX(Задачи!$A$1:$A$501,$H274)&amp;"")</f>
        <v/>
      </c>
      <c r="C274" s="40" t="str">
        <f aca="false">IF($H274="","",INDEX(Задачи!$B$1:$B$501,$H274)&amp;"")</f>
        <v/>
      </c>
      <c r="D274" s="39" t="str">
        <f aca="false">IF($H274="","",INDEX(Задачи!$C$1:$C$501,$H274)&amp;"")</f>
        <v/>
      </c>
      <c r="E274" s="41" t="str">
        <f aca="false">IF($H274="","",IF(INDEX(Задачи!$E$1:$E$501,$H274)="","",INDEX(Задачи!$E$1:$E$501,$H274)))</f>
        <v/>
      </c>
      <c r="F274" s="41" t="str">
        <f aca="false">IF($H274="","",IF(INDEX(Задачи!$F$1:$F$501,$H274)="","",INDEX(Задачи!$F$1:$F$501,$H274)))</f>
        <v/>
      </c>
      <c r="G274" s="40" t="str">
        <f aca="false">IF($H274="","",INDEX(Задачи!$I$1:$I$501,$H274)&amp;"")</f>
        <v/>
      </c>
      <c r="H274" s="20" t="str">
        <f aca="false">IFERROR(MOD(LARGE(Задачи!$P$2:$P$501,ROWS(H$5:H274)),1000),"")</f>
        <v/>
      </c>
    </row>
    <row r="275" customFormat="false" ht="30" hidden="false" customHeight="true" outlineLevel="0" collapsed="false">
      <c r="A275" s="39" t="str">
        <f aca="false">IF($H275="","",ROWS(A$5:A275))</f>
        <v/>
      </c>
      <c r="B275" s="40" t="str">
        <f aca="false">IF($H275="","",INDEX(Задачи!$A$1:$A$501,$H275)&amp;"")</f>
        <v/>
      </c>
      <c r="C275" s="40" t="str">
        <f aca="false">IF($H275="","",INDEX(Задачи!$B$1:$B$501,$H275)&amp;"")</f>
        <v/>
      </c>
      <c r="D275" s="39" t="str">
        <f aca="false">IF($H275="","",INDEX(Задачи!$C$1:$C$501,$H275)&amp;"")</f>
        <v/>
      </c>
      <c r="E275" s="41" t="str">
        <f aca="false">IF($H275="","",IF(INDEX(Задачи!$E$1:$E$501,$H275)="","",INDEX(Задачи!$E$1:$E$501,$H275)))</f>
        <v/>
      </c>
      <c r="F275" s="41" t="str">
        <f aca="false">IF($H275="","",IF(INDEX(Задачи!$F$1:$F$501,$H275)="","",INDEX(Задачи!$F$1:$F$501,$H275)))</f>
        <v/>
      </c>
      <c r="G275" s="40" t="str">
        <f aca="false">IF($H275="","",INDEX(Задачи!$I$1:$I$501,$H275)&amp;"")</f>
        <v/>
      </c>
      <c r="H275" s="20" t="str">
        <f aca="false">IFERROR(MOD(LARGE(Задачи!$P$2:$P$501,ROWS(H$5:H275)),1000),"")</f>
        <v/>
      </c>
    </row>
    <row r="276" customFormat="false" ht="30" hidden="false" customHeight="true" outlineLevel="0" collapsed="false">
      <c r="A276" s="39" t="str">
        <f aca="false">IF($H276="","",ROWS(A$5:A276))</f>
        <v/>
      </c>
      <c r="B276" s="40" t="str">
        <f aca="false">IF($H276="","",INDEX(Задачи!$A$1:$A$501,$H276)&amp;"")</f>
        <v/>
      </c>
      <c r="C276" s="40" t="str">
        <f aca="false">IF($H276="","",INDEX(Задачи!$B$1:$B$501,$H276)&amp;"")</f>
        <v/>
      </c>
      <c r="D276" s="39" t="str">
        <f aca="false">IF($H276="","",INDEX(Задачи!$C$1:$C$501,$H276)&amp;"")</f>
        <v/>
      </c>
      <c r="E276" s="41" t="str">
        <f aca="false">IF($H276="","",IF(INDEX(Задачи!$E$1:$E$501,$H276)="","",INDEX(Задачи!$E$1:$E$501,$H276)))</f>
        <v/>
      </c>
      <c r="F276" s="41" t="str">
        <f aca="false">IF($H276="","",IF(INDEX(Задачи!$F$1:$F$501,$H276)="","",INDEX(Задачи!$F$1:$F$501,$H276)))</f>
        <v/>
      </c>
      <c r="G276" s="40" t="str">
        <f aca="false">IF($H276="","",INDEX(Задачи!$I$1:$I$501,$H276)&amp;"")</f>
        <v/>
      </c>
      <c r="H276" s="20" t="str">
        <f aca="false">IFERROR(MOD(LARGE(Задачи!$P$2:$P$501,ROWS(H$5:H276)),1000),"")</f>
        <v/>
      </c>
    </row>
    <row r="277" customFormat="false" ht="30" hidden="false" customHeight="true" outlineLevel="0" collapsed="false">
      <c r="A277" s="39" t="str">
        <f aca="false">IF($H277="","",ROWS(A$5:A277))</f>
        <v/>
      </c>
      <c r="B277" s="40" t="str">
        <f aca="false">IF($H277="","",INDEX(Задачи!$A$1:$A$501,$H277)&amp;"")</f>
        <v/>
      </c>
      <c r="C277" s="40" t="str">
        <f aca="false">IF($H277="","",INDEX(Задачи!$B$1:$B$501,$H277)&amp;"")</f>
        <v/>
      </c>
      <c r="D277" s="39" t="str">
        <f aca="false">IF($H277="","",INDEX(Задачи!$C$1:$C$501,$H277)&amp;"")</f>
        <v/>
      </c>
      <c r="E277" s="41" t="str">
        <f aca="false">IF($H277="","",IF(INDEX(Задачи!$E$1:$E$501,$H277)="","",INDEX(Задачи!$E$1:$E$501,$H277)))</f>
        <v/>
      </c>
      <c r="F277" s="41" t="str">
        <f aca="false">IF($H277="","",IF(INDEX(Задачи!$F$1:$F$501,$H277)="","",INDEX(Задачи!$F$1:$F$501,$H277)))</f>
        <v/>
      </c>
      <c r="G277" s="40" t="str">
        <f aca="false">IF($H277="","",INDEX(Задачи!$I$1:$I$501,$H277)&amp;"")</f>
        <v/>
      </c>
      <c r="H277" s="20" t="str">
        <f aca="false">IFERROR(MOD(LARGE(Задачи!$P$2:$P$501,ROWS(H$5:H277)),1000),"")</f>
        <v/>
      </c>
    </row>
    <row r="278" customFormat="false" ht="30" hidden="false" customHeight="true" outlineLevel="0" collapsed="false">
      <c r="A278" s="39" t="str">
        <f aca="false">IF($H278="","",ROWS(A$5:A278))</f>
        <v/>
      </c>
      <c r="B278" s="40" t="str">
        <f aca="false">IF($H278="","",INDEX(Задачи!$A$1:$A$501,$H278)&amp;"")</f>
        <v/>
      </c>
      <c r="C278" s="40" t="str">
        <f aca="false">IF($H278="","",INDEX(Задачи!$B$1:$B$501,$H278)&amp;"")</f>
        <v/>
      </c>
      <c r="D278" s="39" t="str">
        <f aca="false">IF($H278="","",INDEX(Задачи!$C$1:$C$501,$H278)&amp;"")</f>
        <v/>
      </c>
      <c r="E278" s="41" t="str">
        <f aca="false">IF($H278="","",IF(INDEX(Задачи!$E$1:$E$501,$H278)="","",INDEX(Задачи!$E$1:$E$501,$H278)))</f>
        <v/>
      </c>
      <c r="F278" s="41" t="str">
        <f aca="false">IF($H278="","",IF(INDEX(Задачи!$F$1:$F$501,$H278)="","",INDEX(Задачи!$F$1:$F$501,$H278)))</f>
        <v/>
      </c>
      <c r="G278" s="40" t="str">
        <f aca="false">IF($H278="","",INDEX(Задачи!$I$1:$I$501,$H278)&amp;"")</f>
        <v/>
      </c>
      <c r="H278" s="20" t="str">
        <f aca="false">IFERROR(MOD(LARGE(Задачи!$P$2:$P$501,ROWS(H$5:H278)),1000),"")</f>
        <v/>
      </c>
    </row>
    <row r="279" customFormat="false" ht="30" hidden="false" customHeight="true" outlineLevel="0" collapsed="false">
      <c r="A279" s="39" t="str">
        <f aca="false">IF($H279="","",ROWS(A$5:A279))</f>
        <v/>
      </c>
      <c r="B279" s="40" t="str">
        <f aca="false">IF($H279="","",INDEX(Задачи!$A$1:$A$501,$H279)&amp;"")</f>
        <v/>
      </c>
      <c r="C279" s="40" t="str">
        <f aca="false">IF($H279="","",INDEX(Задачи!$B$1:$B$501,$H279)&amp;"")</f>
        <v/>
      </c>
      <c r="D279" s="39" t="str">
        <f aca="false">IF($H279="","",INDEX(Задачи!$C$1:$C$501,$H279)&amp;"")</f>
        <v/>
      </c>
      <c r="E279" s="41" t="str">
        <f aca="false">IF($H279="","",IF(INDEX(Задачи!$E$1:$E$501,$H279)="","",INDEX(Задачи!$E$1:$E$501,$H279)))</f>
        <v/>
      </c>
      <c r="F279" s="41" t="str">
        <f aca="false">IF($H279="","",IF(INDEX(Задачи!$F$1:$F$501,$H279)="","",INDEX(Задачи!$F$1:$F$501,$H279)))</f>
        <v/>
      </c>
      <c r="G279" s="40" t="str">
        <f aca="false">IF($H279="","",INDEX(Задачи!$I$1:$I$501,$H279)&amp;"")</f>
        <v/>
      </c>
      <c r="H279" s="20" t="str">
        <f aca="false">IFERROR(MOD(LARGE(Задачи!$P$2:$P$501,ROWS(H$5:H279)),1000),"")</f>
        <v/>
      </c>
    </row>
    <row r="280" customFormat="false" ht="30" hidden="false" customHeight="true" outlineLevel="0" collapsed="false">
      <c r="A280" s="39" t="str">
        <f aca="false">IF($H280="","",ROWS(A$5:A280))</f>
        <v/>
      </c>
      <c r="B280" s="40" t="str">
        <f aca="false">IF($H280="","",INDEX(Задачи!$A$1:$A$501,$H280)&amp;"")</f>
        <v/>
      </c>
      <c r="C280" s="40" t="str">
        <f aca="false">IF($H280="","",INDEX(Задачи!$B$1:$B$501,$H280)&amp;"")</f>
        <v/>
      </c>
      <c r="D280" s="39" t="str">
        <f aca="false">IF($H280="","",INDEX(Задачи!$C$1:$C$501,$H280)&amp;"")</f>
        <v/>
      </c>
      <c r="E280" s="41" t="str">
        <f aca="false">IF($H280="","",IF(INDEX(Задачи!$E$1:$E$501,$H280)="","",INDEX(Задачи!$E$1:$E$501,$H280)))</f>
        <v/>
      </c>
      <c r="F280" s="41" t="str">
        <f aca="false">IF($H280="","",IF(INDEX(Задачи!$F$1:$F$501,$H280)="","",INDEX(Задачи!$F$1:$F$501,$H280)))</f>
        <v/>
      </c>
      <c r="G280" s="40" t="str">
        <f aca="false">IF($H280="","",INDEX(Задачи!$I$1:$I$501,$H280)&amp;"")</f>
        <v/>
      </c>
      <c r="H280" s="20" t="str">
        <f aca="false">IFERROR(MOD(LARGE(Задачи!$P$2:$P$501,ROWS(H$5:H280)),1000),"")</f>
        <v/>
      </c>
    </row>
    <row r="281" customFormat="false" ht="30" hidden="false" customHeight="true" outlineLevel="0" collapsed="false">
      <c r="A281" s="39" t="str">
        <f aca="false">IF($H281="","",ROWS(A$5:A281))</f>
        <v/>
      </c>
      <c r="B281" s="40" t="str">
        <f aca="false">IF($H281="","",INDEX(Задачи!$A$1:$A$501,$H281)&amp;"")</f>
        <v/>
      </c>
      <c r="C281" s="40" t="str">
        <f aca="false">IF($H281="","",INDEX(Задачи!$B$1:$B$501,$H281)&amp;"")</f>
        <v/>
      </c>
      <c r="D281" s="39" t="str">
        <f aca="false">IF($H281="","",INDEX(Задачи!$C$1:$C$501,$H281)&amp;"")</f>
        <v/>
      </c>
      <c r="E281" s="41" t="str">
        <f aca="false">IF($H281="","",IF(INDEX(Задачи!$E$1:$E$501,$H281)="","",INDEX(Задачи!$E$1:$E$501,$H281)))</f>
        <v/>
      </c>
      <c r="F281" s="41" t="str">
        <f aca="false">IF($H281="","",IF(INDEX(Задачи!$F$1:$F$501,$H281)="","",INDEX(Задачи!$F$1:$F$501,$H281)))</f>
        <v/>
      </c>
      <c r="G281" s="40" t="str">
        <f aca="false">IF($H281="","",INDEX(Задачи!$I$1:$I$501,$H281)&amp;"")</f>
        <v/>
      </c>
      <c r="H281" s="20" t="str">
        <f aca="false">IFERROR(MOD(LARGE(Задачи!$P$2:$P$501,ROWS(H$5:H281)),1000),"")</f>
        <v/>
      </c>
    </row>
    <row r="282" customFormat="false" ht="30" hidden="false" customHeight="true" outlineLevel="0" collapsed="false">
      <c r="A282" s="39" t="str">
        <f aca="false">IF($H282="","",ROWS(A$5:A282))</f>
        <v/>
      </c>
      <c r="B282" s="40" t="str">
        <f aca="false">IF($H282="","",INDEX(Задачи!$A$1:$A$501,$H282)&amp;"")</f>
        <v/>
      </c>
      <c r="C282" s="40" t="str">
        <f aca="false">IF($H282="","",INDEX(Задачи!$B$1:$B$501,$H282)&amp;"")</f>
        <v/>
      </c>
      <c r="D282" s="39" t="str">
        <f aca="false">IF($H282="","",INDEX(Задачи!$C$1:$C$501,$H282)&amp;"")</f>
        <v/>
      </c>
      <c r="E282" s="41" t="str">
        <f aca="false">IF($H282="","",IF(INDEX(Задачи!$E$1:$E$501,$H282)="","",INDEX(Задачи!$E$1:$E$501,$H282)))</f>
        <v/>
      </c>
      <c r="F282" s="41" t="str">
        <f aca="false">IF($H282="","",IF(INDEX(Задачи!$F$1:$F$501,$H282)="","",INDEX(Задачи!$F$1:$F$501,$H282)))</f>
        <v/>
      </c>
      <c r="G282" s="40" t="str">
        <f aca="false">IF($H282="","",INDEX(Задачи!$I$1:$I$501,$H282)&amp;"")</f>
        <v/>
      </c>
      <c r="H282" s="20" t="str">
        <f aca="false">IFERROR(MOD(LARGE(Задачи!$P$2:$P$501,ROWS(H$5:H282)),1000),"")</f>
        <v/>
      </c>
    </row>
    <row r="283" customFormat="false" ht="30" hidden="false" customHeight="true" outlineLevel="0" collapsed="false">
      <c r="A283" s="39" t="str">
        <f aca="false">IF($H283="","",ROWS(A$5:A283))</f>
        <v/>
      </c>
      <c r="B283" s="40" t="str">
        <f aca="false">IF($H283="","",INDEX(Задачи!$A$1:$A$501,$H283)&amp;"")</f>
        <v/>
      </c>
      <c r="C283" s="40" t="str">
        <f aca="false">IF($H283="","",INDEX(Задачи!$B$1:$B$501,$H283)&amp;"")</f>
        <v/>
      </c>
      <c r="D283" s="39" t="str">
        <f aca="false">IF($H283="","",INDEX(Задачи!$C$1:$C$501,$H283)&amp;"")</f>
        <v/>
      </c>
      <c r="E283" s="41" t="str">
        <f aca="false">IF($H283="","",IF(INDEX(Задачи!$E$1:$E$501,$H283)="","",INDEX(Задачи!$E$1:$E$501,$H283)))</f>
        <v/>
      </c>
      <c r="F283" s="41" t="str">
        <f aca="false">IF($H283="","",IF(INDEX(Задачи!$F$1:$F$501,$H283)="","",INDEX(Задачи!$F$1:$F$501,$H283)))</f>
        <v/>
      </c>
      <c r="G283" s="40" t="str">
        <f aca="false">IF($H283="","",INDEX(Задачи!$I$1:$I$501,$H283)&amp;"")</f>
        <v/>
      </c>
      <c r="H283" s="20" t="str">
        <f aca="false">IFERROR(MOD(LARGE(Задачи!$P$2:$P$501,ROWS(H$5:H283)),1000),"")</f>
        <v/>
      </c>
    </row>
    <row r="284" customFormat="false" ht="30" hidden="false" customHeight="true" outlineLevel="0" collapsed="false">
      <c r="A284" s="39" t="str">
        <f aca="false">IF($H284="","",ROWS(A$5:A284))</f>
        <v/>
      </c>
      <c r="B284" s="40" t="str">
        <f aca="false">IF($H284="","",INDEX(Задачи!$A$1:$A$501,$H284)&amp;"")</f>
        <v/>
      </c>
      <c r="C284" s="40" t="str">
        <f aca="false">IF($H284="","",INDEX(Задачи!$B$1:$B$501,$H284)&amp;"")</f>
        <v/>
      </c>
      <c r="D284" s="39" t="str">
        <f aca="false">IF($H284="","",INDEX(Задачи!$C$1:$C$501,$H284)&amp;"")</f>
        <v/>
      </c>
      <c r="E284" s="41" t="str">
        <f aca="false">IF($H284="","",IF(INDEX(Задачи!$E$1:$E$501,$H284)="","",INDEX(Задачи!$E$1:$E$501,$H284)))</f>
        <v/>
      </c>
      <c r="F284" s="41" t="str">
        <f aca="false">IF($H284="","",IF(INDEX(Задачи!$F$1:$F$501,$H284)="","",INDEX(Задачи!$F$1:$F$501,$H284)))</f>
        <v/>
      </c>
      <c r="G284" s="40" t="str">
        <f aca="false">IF($H284="","",INDEX(Задачи!$I$1:$I$501,$H284)&amp;"")</f>
        <v/>
      </c>
      <c r="H284" s="20" t="str">
        <f aca="false">IFERROR(MOD(LARGE(Задачи!$P$2:$P$501,ROWS(H$5:H284)),1000),"")</f>
        <v/>
      </c>
    </row>
    <row r="285" customFormat="false" ht="30" hidden="false" customHeight="true" outlineLevel="0" collapsed="false">
      <c r="A285" s="39" t="str">
        <f aca="false">IF($H285="","",ROWS(A$5:A285))</f>
        <v/>
      </c>
      <c r="B285" s="40" t="str">
        <f aca="false">IF($H285="","",INDEX(Задачи!$A$1:$A$501,$H285)&amp;"")</f>
        <v/>
      </c>
      <c r="C285" s="40" t="str">
        <f aca="false">IF($H285="","",INDEX(Задачи!$B$1:$B$501,$H285)&amp;"")</f>
        <v/>
      </c>
      <c r="D285" s="39" t="str">
        <f aca="false">IF($H285="","",INDEX(Задачи!$C$1:$C$501,$H285)&amp;"")</f>
        <v/>
      </c>
      <c r="E285" s="41" t="str">
        <f aca="false">IF($H285="","",IF(INDEX(Задачи!$E$1:$E$501,$H285)="","",INDEX(Задачи!$E$1:$E$501,$H285)))</f>
        <v/>
      </c>
      <c r="F285" s="41" t="str">
        <f aca="false">IF($H285="","",IF(INDEX(Задачи!$F$1:$F$501,$H285)="","",INDEX(Задачи!$F$1:$F$501,$H285)))</f>
        <v/>
      </c>
      <c r="G285" s="40" t="str">
        <f aca="false">IF($H285="","",INDEX(Задачи!$I$1:$I$501,$H285)&amp;"")</f>
        <v/>
      </c>
      <c r="H285" s="20" t="str">
        <f aca="false">IFERROR(MOD(LARGE(Задачи!$P$2:$P$501,ROWS(H$5:H285)),1000),"")</f>
        <v/>
      </c>
    </row>
    <row r="286" customFormat="false" ht="30" hidden="false" customHeight="true" outlineLevel="0" collapsed="false">
      <c r="A286" s="39" t="str">
        <f aca="false">IF($H286="","",ROWS(A$5:A286))</f>
        <v/>
      </c>
      <c r="B286" s="40" t="str">
        <f aca="false">IF($H286="","",INDEX(Задачи!$A$1:$A$501,$H286)&amp;"")</f>
        <v/>
      </c>
      <c r="C286" s="40" t="str">
        <f aca="false">IF($H286="","",INDEX(Задачи!$B$1:$B$501,$H286)&amp;"")</f>
        <v/>
      </c>
      <c r="D286" s="39" t="str">
        <f aca="false">IF($H286="","",INDEX(Задачи!$C$1:$C$501,$H286)&amp;"")</f>
        <v/>
      </c>
      <c r="E286" s="41" t="str">
        <f aca="false">IF($H286="","",IF(INDEX(Задачи!$E$1:$E$501,$H286)="","",INDEX(Задачи!$E$1:$E$501,$H286)))</f>
        <v/>
      </c>
      <c r="F286" s="41" t="str">
        <f aca="false">IF($H286="","",IF(INDEX(Задачи!$F$1:$F$501,$H286)="","",INDEX(Задачи!$F$1:$F$501,$H286)))</f>
        <v/>
      </c>
      <c r="G286" s="40" t="str">
        <f aca="false">IF($H286="","",INDEX(Задачи!$I$1:$I$501,$H286)&amp;"")</f>
        <v/>
      </c>
      <c r="H286" s="20" t="str">
        <f aca="false">IFERROR(MOD(LARGE(Задачи!$P$2:$P$501,ROWS(H$5:H286)),1000),"")</f>
        <v/>
      </c>
    </row>
    <row r="287" customFormat="false" ht="30" hidden="false" customHeight="true" outlineLevel="0" collapsed="false">
      <c r="A287" s="39" t="str">
        <f aca="false">IF($H287="","",ROWS(A$5:A287))</f>
        <v/>
      </c>
      <c r="B287" s="40" t="str">
        <f aca="false">IF($H287="","",INDEX(Задачи!$A$1:$A$501,$H287)&amp;"")</f>
        <v/>
      </c>
      <c r="C287" s="40" t="str">
        <f aca="false">IF($H287="","",INDEX(Задачи!$B$1:$B$501,$H287)&amp;"")</f>
        <v/>
      </c>
      <c r="D287" s="39" t="str">
        <f aca="false">IF($H287="","",INDEX(Задачи!$C$1:$C$501,$H287)&amp;"")</f>
        <v/>
      </c>
      <c r="E287" s="41" t="str">
        <f aca="false">IF($H287="","",IF(INDEX(Задачи!$E$1:$E$501,$H287)="","",INDEX(Задачи!$E$1:$E$501,$H287)))</f>
        <v/>
      </c>
      <c r="F287" s="41" t="str">
        <f aca="false">IF($H287="","",IF(INDEX(Задачи!$F$1:$F$501,$H287)="","",INDEX(Задачи!$F$1:$F$501,$H287)))</f>
        <v/>
      </c>
      <c r="G287" s="40" t="str">
        <f aca="false">IF($H287="","",INDEX(Задачи!$I$1:$I$501,$H287)&amp;"")</f>
        <v/>
      </c>
      <c r="H287" s="20" t="str">
        <f aca="false">IFERROR(MOD(LARGE(Задачи!$P$2:$P$501,ROWS(H$5:H287)),1000),"")</f>
        <v/>
      </c>
    </row>
    <row r="288" customFormat="false" ht="30" hidden="false" customHeight="true" outlineLevel="0" collapsed="false">
      <c r="A288" s="39" t="str">
        <f aca="false">IF($H288="","",ROWS(A$5:A288))</f>
        <v/>
      </c>
      <c r="B288" s="40" t="str">
        <f aca="false">IF($H288="","",INDEX(Задачи!$A$1:$A$501,$H288)&amp;"")</f>
        <v/>
      </c>
      <c r="C288" s="40" t="str">
        <f aca="false">IF($H288="","",INDEX(Задачи!$B$1:$B$501,$H288)&amp;"")</f>
        <v/>
      </c>
      <c r="D288" s="39" t="str">
        <f aca="false">IF($H288="","",INDEX(Задачи!$C$1:$C$501,$H288)&amp;"")</f>
        <v/>
      </c>
      <c r="E288" s="41" t="str">
        <f aca="false">IF($H288="","",IF(INDEX(Задачи!$E$1:$E$501,$H288)="","",INDEX(Задачи!$E$1:$E$501,$H288)))</f>
        <v/>
      </c>
      <c r="F288" s="41" t="str">
        <f aca="false">IF($H288="","",IF(INDEX(Задачи!$F$1:$F$501,$H288)="","",INDEX(Задачи!$F$1:$F$501,$H288)))</f>
        <v/>
      </c>
      <c r="G288" s="40" t="str">
        <f aca="false">IF($H288="","",INDEX(Задачи!$I$1:$I$501,$H288)&amp;"")</f>
        <v/>
      </c>
      <c r="H288" s="20" t="str">
        <f aca="false">IFERROR(MOD(LARGE(Задачи!$P$2:$P$501,ROWS(H$5:H288)),1000),"")</f>
        <v/>
      </c>
    </row>
    <row r="289" customFormat="false" ht="30" hidden="false" customHeight="true" outlineLevel="0" collapsed="false">
      <c r="A289" s="39" t="str">
        <f aca="false">IF($H289="","",ROWS(A$5:A289))</f>
        <v/>
      </c>
      <c r="B289" s="40" t="str">
        <f aca="false">IF($H289="","",INDEX(Задачи!$A$1:$A$501,$H289)&amp;"")</f>
        <v/>
      </c>
      <c r="C289" s="40" t="str">
        <f aca="false">IF($H289="","",INDEX(Задачи!$B$1:$B$501,$H289)&amp;"")</f>
        <v/>
      </c>
      <c r="D289" s="39" t="str">
        <f aca="false">IF($H289="","",INDEX(Задачи!$C$1:$C$501,$H289)&amp;"")</f>
        <v/>
      </c>
      <c r="E289" s="41" t="str">
        <f aca="false">IF($H289="","",IF(INDEX(Задачи!$E$1:$E$501,$H289)="","",INDEX(Задачи!$E$1:$E$501,$H289)))</f>
        <v/>
      </c>
      <c r="F289" s="41" t="str">
        <f aca="false">IF($H289="","",IF(INDEX(Задачи!$F$1:$F$501,$H289)="","",INDEX(Задачи!$F$1:$F$501,$H289)))</f>
        <v/>
      </c>
      <c r="G289" s="40" t="str">
        <f aca="false">IF($H289="","",INDEX(Задачи!$I$1:$I$501,$H289)&amp;"")</f>
        <v/>
      </c>
      <c r="H289" s="20" t="str">
        <f aca="false">IFERROR(MOD(LARGE(Задачи!$P$2:$P$501,ROWS(H$5:H289)),1000),"")</f>
        <v/>
      </c>
    </row>
    <row r="290" customFormat="false" ht="30" hidden="false" customHeight="true" outlineLevel="0" collapsed="false">
      <c r="A290" s="39" t="str">
        <f aca="false">IF($H290="","",ROWS(A$5:A290))</f>
        <v/>
      </c>
      <c r="B290" s="40" t="str">
        <f aca="false">IF($H290="","",INDEX(Задачи!$A$1:$A$501,$H290)&amp;"")</f>
        <v/>
      </c>
      <c r="C290" s="40" t="str">
        <f aca="false">IF($H290="","",INDEX(Задачи!$B$1:$B$501,$H290)&amp;"")</f>
        <v/>
      </c>
      <c r="D290" s="39" t="str">
        <f aca="false">IF($H290="","",INDEX(Задачи!$C$1:$C$501,$H290)&amp;"")</f>
        <v/>
      </c>
      <c r="E290" s="41" t="str">
        <f aca="false">IF($H290="","",IF(INDEX(Задачи!$E$1:$E$501,$H290)="","",INDEX(Задачи!$E$1:$E$501,$H290)))</f>
        <v/>
      </c>
      <c r="F290" s="41" t="str">
        <f aca="false">IF($H290="","",IF(INDEX(Задачи!$F$1:$F$501,$H290)="","",INDEX(Задачи!$F$1:$F$501,$H290)))</f>
        <v/>
      </c>
      <c r="G290" s="40" t="str">
        <f aca="false">IF($H290="","",INDEX(Задачи!$I$1:$I$501,$H290)&amp;"")</f>
        <v/>
      </c>
      <c r="H290" s="20" t="str">
        <f aca="false">IFERROR(MOD(LARGE(Задачи!$P$2:$P$501,ROWS(H$5:H290)),1000),"")</f>
        <v/>
      </c>
    </row>
    <row r="291" customFormat="false" ht="30" hidden="false" customHeight="true" outlineLevel="0" collapsed="false">
      <c r="A291" s="39" t="str">
        <f aca="false">IF($H291="","",ROWS(A$5:A291))</f>
        <v/>
      </c>
      <c r="B291" s="40" t="str">
        <f aca="false">IF($H291="","",INDEX(Задачи!$A$1:$A$501,$H291)&amp;"")</f>
        <v/>
      </c>
      <c r="C291" s="40" t="str">
        <f aca="false">IF($H291="","",INDEX(Задачи!$B$1:$B$501,$H291)&amp;"")</f>
        <v/>
      </c>
      <c r="D291" s="39" t="str">
        <f aca="false">IF($H291="","",INDEX(Задачи!$C$1:$C$501,$H291)&amp;"")</f>
        <v/>
      </c>
      <c r="E291" s="41" t="str">
        <f aca="false">IF($H291="","",IF(INDEX(Задачи!$E$1:$E$501,$H291)="","",INDEX(Задачи!$E$1:$E$501,$H291)))</f>
        <v/>
      </c>
      <c r="F291" s="41" t="str">
        <f aca="false">IF($H291="","",IF(INDEX(Задачи!$F$1:$F$501,$H291)="","",INDEX(Задачи!$F$1:$F$501,$H291)))</f>
        <v/>
      </c>
      <c r="G291" s="40" t="str">
        <f aca="false">IF($H291="","",INDEX(Задачи!$I$1:$I$501,$H291)&amp;"")</f>
        <v/>
      </c>
      <c r="H291" s="20" t="str">
        <f aca="false">IFERROR(MOD(LARGE(Задачи!$P$2:$P$501,ROWS(H$5:H291)),1000),"")</f>
        <v/>
      </c>
    </row>
    <row r="292" customFormat="false" ht="30" hidden="false" customHeight="true" outlineLevel="0" collapsed="false">
      <c r="A292" s="39" t="str">
        <f aca="false">IF($H292="","",ROWS(A$5:A292))</f>
        <v/>
      </c>
      <c r="B292" s="40" t="str">
        <f aca="false">IF($H292="","",INDEX(Задачи!$A$1:$A$501,$H292)&amp;"")</f>
        <v/>
      </c>
      <c r="C292" s="40" t="str">
        <f aca="false">IF($H292="","",INDEX(Задачи!$B$1:$B$501,$H292)&amp;"")</f>
        <v/>
      </c>
      <c r="D292" s="39" t="str">
        <f aca="false">IF($H292="","",INDEX(Задачи!$C$1:$C$501,$H292)&amp;"")</f>
        <v/>
      </c>
      <c r="E292" s="41" t="str">
        <f aca="false">IF($H292="","",IF(INDEX(Задачи!$E$1:$E$501,$H292)="","",INDEX(Задачи!$E$1:$E$501,$H292)))</f>
        <v/>
      </c>
      <c r="F292" s="41" t="str">
        <f aca="false">IF($H292="","",IF(INDEX(Задачи!$F$1:$F$501,$H292)="","",INDEX(Задачи!$F$1:$F$501,$H292)))</f>
        <v/>
      </c>
      <c r="G292" s="40" t="str">
        <f aca="false">IF($H292="","",INDEX(Задачи!$I$1:$I$501,$H292)&amp;"")</f>
        <v/>
      </c>
      <c r="H292" s="20" t="str">
        <f aca="false">IFERROR(MOD(LARGE(Задачи!$P$2:$P$501,ROWS(H$5:H292)),1000),"")</f>
        <v/>
      </c>
    </row>
    <row r="293" customFormat="false" ht="30" hidden="false" customHeight="true" outlineLevel="0" collapsed="false">
      <c r="A293" s="39" t="str">
        <f aca="false">IF($H293="","",ROWS(A$5:A293))</f>
        <v/>
      </c>
      <c r="B293" s="40" t="str">
        <f aca="false">IF($H293="","",INDEX(Задачи!$A$1:$A$501,$H293)&amp;"")</f>
        <v/>
      </c>
      <c r="C293" s="40" t="str">
        <f aca="false">IF($H293="","",INDEX(Задачи!$B$1:$B$501,$H293)&amp;"")</f>
        <v/>
      </c>
      <c r="D293" s="39" t="str">
        <f aca="false">IF($H293="","",INDEX(Задачи!$C$1:$C$501,$H293)&amp;"")</f>
        <v/>
      </c>
      <c r="E293" s="41" t="str">
        <f aca="false">IF($H293="","",IF(INDEX(Задачи!$E$1:$E$501,$H293)="","",INDEX(Задачи!$E$1:$E$501,$H293)))</f>
        <v/>
      </c>
      <c r="F293" s="41" t="str">
        <f aca="false">IF($H293="","",IF(INDEX(Задачи!$F$1:$F$501,$H293)="","",INDEX(Задачи!$F$1:$F$501,$H293)))</f>
        <v/>
      </c>
      <c r="G293" s="40" t="str">
        <f aca="false">IF($H293="","",INDEX(Задачи!$I$1:$I$501,$H293)&amp;"")</f>
        <v/>
      </c>
      <c r="H293" s="20" t="str">
        <f aca="false">IFERROR(MOD(LARGE(Задачи!$P$2:$P$501,ROWS(H$5:H293)),1000),"")</f>
        <v/>
      </c>
    </row>
    <row r="294" customFormat="false" ht="30" hidden="false" customHeight="true" outlineLevel="0" collapsed="false">
      <c r="A294" s="39" t="str">
        <f aca="false">IF($H294="","",ROWS(A$5:A294))</f>
        <v/>
      </c>
      <c r="B294" s="40" t="str">
        <f aca="false">IF($H294="","",INDEX(Задачи!$A$1:$A$501,$H294)&amp;"")</f>
        <v/>
      </c>
      <c r="C294" s="40" t="str">
        <f aca="false">IF($H294="","",INDEX(Задачи!$B$1:$B$501,$H294)&amp;"")</f>
        <v/>
      </c>
      <c r="D294" s="39" t="str">
        <f aca="false">IF($H294="","",INDEX(Задачи!$C$1:$C$501,$H294)&amp;"")</f>
        <v/>
      </c>
      <c r="E294" s="41" t="str">
        <f aca="false">IF($H294="","",IF(INDEX(Задачи!$E$1:$E$501,$H294)="","",INDEX(Задачи!$E$1:$E$501,$H294)))</f>
        <v/>
      </c>
      <c r="F294" s="41" t="str">
        <f aca="false">IF($H294="","",IF(INDEX(Задачи!$F$1:$F$501,$H294)="","",INDEX(Задачи!$F$1:$F$501,$H294)))</f>
        <v/>
      </c>
      <c r="G294" s="40" t="str">
        <f aca="false">IF($H294="","",INDEX(Задачи!$I$1:$I$501,$H294)&amp;"")</f>
        <v/>
      </c>
      <c r="H294" s="20" t="str">
        <f aca="false">IFERROR(MOD(LARGE(Задачи!$P$2:$P$501,ROWS(H$5:H294)),1000),"")</f>
        <v/>
      </c>
    </row>
    <row r="295" customFormat="false" ht="30" hidden="false" customHeight="true" outlineLevel="0" collapsed="false">
      <c r="A295" s="39" t="str">
        <f aca="false">IF($H295="","",ROWS(A$5:A295))</f>
        <v/>
      </c>
      <c r="B295" s="40" t="str">
        <f aca="false">IF($H295="","",INDEX(Задачи!$A$1:$A$501,$H295)&amp;"")</f>
        <v/>
      </c>
      <c r="C295" s="40" t="str">
        <f aca="false">IF($H295="","",INDEX(Задачи!$B$1:$B$501,$H295)&amp;"")</f>
        <v/>
      </c>
      <c r="D295" s="39" t="str">
        <f aca="false">IF($H295="","",INDEX(Задачи!$C$1:$C$501,$H295)&amp;"")</f>
        <v/>
      </c>
      <c r="E295" s="41" t="str">
        <f aca="false">IF($H295="","",IF(INDEX(Задачи!$E$1:$E$501,$H295)="","",INDEX(Задачи!$E$1:$E$501,$H295)))</f>
        <v/>
      </c>
      <c r="F295" s="41" t="str">
        <f aca="false">IF($H295="","",IF(INDEX(Задачи!$F$1:$F$501,$H295)="","",INDEX(Задачи!$F$1:$F$501,$H295)))</f>
        <v/>
      </c>
      <c r="G295" s="40" t="str">
        <f aca="false">IF($H295="","",INDEX(Задачи!$I$1:$I$501,$H295)&amp;"")</f>
        <v/>
      </c>
      <c r="H295" s="20" t="str">
        <f aca="false">IFERROR(MOD(LARGE(Задачи!$P$2:$P$501,ROWS(H$5:H295)),1000),"")</f>
        <v/>
      </c>
    </row>
    <row r="296" customFormat="false" ht="30" hidden="false" customHeight="true" outlineLevel="0" collapsed="false">
      <c r="A296" s="39" t="str">
        <f aca="false">IF($H296="","",ROWS(A$5:A296))</f>
        <v/>
      </c>
      <c r="B296" s="40" t="str">
        <f aca="false">IF($H296="","",INDEX(Задачи!$A$1:$A$501,$H296)&amp;"")</f>
        <v/>
      </c>
      <c r="C296" s="40" t="str">
        <f aca="false">IF($H296="","",INDEX(Задачи!$B$1:$B$501,$H296)&amp;"")</f>
        <v/>
      </c>
      <c r="D296" s="39" t="str">
        <f aca="false">IF($H296="","",INDEX(Задачи!$C$1:$C$501,$H296)&amp;"")</f>
        <v/>
      </c>
      <c r="E296" s="41" t="str">
        <f aca="false">IF($H296="","",IF(INDEX(Задачи!$E$1:$E$501,$H296)="","",INDEX(Задачи!$E$1:$E$501,$H296)))</f>
        <v/>
      </c>
      <c r="F296" s="41" t="str">
        <f aca="false">IF($H296="","",IF(INDEX(Задачи!$F$1:$F$501,$H296)="","",INDEX(Задачи!$F$1:$F$501,$H296)))</f>
        <v/>
      </c>
      <c r="G296" s="40" t="str">
        <f aca="false">IF($H296="","",INDEX(Задачи!$I$1:$I$501,$H296)&amp;"")</f>
        <v/>
      </c>
      <c r="H296" s="20" t="str">
        <f aca="false">IFERROR(MOD(LARGE(Задачи!$P$2:$P$501,ROWS(H$5:H296)),1000),"")</f>
        <v/>
      </c>
    </row>
    <row r="297" customFormat="false" ht="30" hidden="false" customHeight="true" outlineLevel="0" collapsed="false">
      <c r="A297" s="39" t="str">
        <f aca="false">IF($H297="","",ROWS(A$5:A297))</f>
        <v/>
      </c>
      <c r="B297" s="40" t="str">
        <f aca="false">IF($H297="","",INDEX(Задачи!$A$1:$A$501,$H297)&amp;"")</f>
        <v/>
      </c>
      <c r="C297" s="40" t="str">
        <f aca="false">IF($H297="","",INDEX(Задачи!$B$1:$B$501,$H297)&amp;"")</f>
        <v/>
      </c>
      <c r="D297" s="39" t="str">
        <f aca="false">IF($H297="","",INDEX(Задачи!$C$1:$C$501,$H297)&amp;"")</f>
        <v/>
      </c>
      <c r="E297" s="41" t="str">
        <f aca="false">IF($H297="","",IF(INDEX(Задачи!$E$1:$E$501,$H297)="","",INDEX(Задачи!$E$1:$E$501,$H297)))</f>
        <v/>
      </c>
      <c r="F297" s="41" t="str">
        <f aca="false">IF($H297="","",IF(INDEX(Задачи!$F$1:$F$501,$H297)="","",INDEX(Задачи!$F$1:$F$501,$H297)))</f>
        <v/>
      </c>
      <c r="G297" s="40" t="str">
        <f aca="false">IF($H297="","",INDEX(Задачи!$I$1:$I$501,$H297)&amp;"")</f>
        <v/>
      </c>
      <c r="H297" s="20" t="str">
        <f aca="false">IFERROR(MOD(LARGE(Задачи!$P$2:$P$501,ROWS(H$5:H297)),1000),"")</f>
        <v/>
      </c>
    </row>
    <row r="298" customFormat="false" ht="30" hidden="false" customHeight="true" outlineLevel="0" collapsed="false">
      <c r="A298" s="39" t="str">
        <f aca="false">IF($H298="","",ROWS(A$5:A298))</f>
        <v/>
      </c>
      <c r="B298" s="40" t="str">
        <f aca="false">IF($H298="","",INDEX(Задачи!$A$1:$A$501,$H298)&amp;"")</f>
        <v/>
      </c>
      <c r="C298" s="40" t="str">
        <f aca="false">IF($H298="","",INDEX(Задачи!$B$1:$B$501,$H298)&amp;"")</f>
        <v/>
      </c>
      <c r="D298" s="39" t="str">
        <f aca="false">IF($H298="","",INDEX(Задачи!$C$1:$C$501,$H298)&amp;"")</f>
        <v/>
      </c>
      <c r="E298" s="41" t="str">
        <f aca="false">IF($H298="","",IF(INDEX(Задачи!$E$1:$E$501,$H298)="","",INDEX(Задачи!$E$1:$E$501,$H298)))</f>
        <v/>
      </c>
      <c r="F298" s="41" t="str">
        <f aca="false">IF($H298="","",IF(INDEX(Задачи!$F$1:$F$501,$H298)="","",INDEX(Задачи!$F$1:$F$501,$H298)))</f>
        <v/>
      </c>
      <c r="G298" s="40" t="str">
        <f aca="false">IF($H298="","",INDEX(Задачи!$I$1:$I$501,$H298)&amp;"")</f>
        <v/>
      </c>
      <c r="H298" s="20" t="str">
        <f aca="false">IFERROR(MOD(LARGE(Задачи!$P$2:$P$501,ROWS(H$5:H298)),1000),"")</f>
        <v/>
      </c>
    </row>
    <row r="299" customFormat="false" ht="30" hidden="false" customHeight="true" outlineLevel="0" collapsed="false">
      <c r="A299" s="39" t="str">
        <f aca="false">IF($H299="","",ROWS(A$5:A299))</f>
        <v/>
      </c>
      <c r="B299" s="40" t="str">
        <f aca="false">IF($H299="","",INDEX(Задачи!$A$1:$A$501,$H299)&amp;"")</f>
        <v/>
      </c>
      <c r="C299" s="40" t="str">
        <f aca="false">IF($H299="","",INDEX(Задачи!$B$1:$B$501,$H299)&amp;"")</f>
        <v/>
      </c>
      <c r="D299" s="39" t="str">
        <f aca="false">IF($H299="","",INDEX(Задачи!$C$1:$C$501,$H299)&amp;"")</f>
        <v/>
      </c>
      <c r="E299" s="41" t="str">
        <f aca="false">IF($H299="","",IF(INDEX(Задачи!$E$1:$E$501,$H299)="","",INDEX(Задачи!$E$1:$E$501,$H299)))</f>
        <v/>
      </c>
      <c r="F299" s="41" t="str">
        <f aca="false">IF($H299="","",IF(INDEX(Задачи!$F$1:$F$501,$H299)="","",INDEX(Задачи!$F$1:$F$501,$H299)))</f>
        <v/>
      </c>
      <c r="G299" s="40" t="str">
        <f aca="false">IF($H299="","",INDEX(Задачи!$I$1:$I$501,$H299)&amp;"")</f>
        <v/>
      </c>
      <c r="H299" s="20" t="str">
        <f aca="false">IFERROR(MOD(LARGE(Задачи!$P$2:$P$501,ROWS(H$5:H299)),1000),"")</f>
        <v/>
      </c>
    </row>
    <row r="300" customFormat="false" ht="30" hidden="false" customHeight="true" outlineLevel="0" collapsed="false">
      <c r="A300" s="39" t="str">
        <f aca="false">IF($H300="","",ROWS(A$5:A300))</f>
        <v/>
      </c>
      <c r="B300" s="40" t="str">
        <f aca="false">IF($H300="","",INDEX(Задачи!$A$1:$A$501,$H300)&amp;"")</f>
        <v/>
      </c>
      <c r="C300" s="40" t="str">
        <f aca="false">IF($H300="","",INDEX(Задачи!$B$1:$B$501,$H300)&amp;"")</f>
        <v/>
      </c>
      <c r="D300" s="39" t="str">
        <f aca="false">IF($H300="","",INDEX(Задачи!$C$1:$C$501,$H300)&amp;"")</f>
        <v/>
      </c>
      <c r="E300" s="41" t="str">
        <f aca="false">IF($H300="","",IF(INDEX(Задачи!$E$1:$E$501,$H300)="","",INDEX(Задачи!$E$1:$E$501,$H300)))</f>
        <v/>
      </c>
      <c r="F300" s="41" t="str">
        <f aca="false">IF($H300="","",IF(INDEX(Задачи!$F$1:$F$501,$H300)="","",INDEX(Задачи!$F$1:$F$501,$H300)))</f>
        <v/>
      </c>
      <c r="G300" s="40" t="str">
        <f aca="false">IF($H300="","",INDEX(Задачи!$I$1:$I$501,$H300)&amp;"")</f>
        <v/>
      </c>
      <c r="H300" s="20" t="str">
        <f aca="false">IFERROR(MOD(LARGE(Задачи!$P$2:$P$501,ROWS(H$5:H300)),1000),"")</f>
        <v/>
      </c>
    </row>
    <row r="301" customFormat="false" ht="30" hidden="false" customHeight="true" outlineLevel="0" collapsed="false">
      <c r="A301" s="39" t="str">
        <f aca="false">IF($H301="","",ROWS(A$5:A301))</f>
        <v/>
      </c>
      <c r="B301" s="40" t="str">
        <f aca="false">IF($H301="","",INDEX(Задачи!$A$1:$A$501,$H301)&amp;"")</f>
        <v/>
      </c>
      <c r="C301" s="40" t="str">
        <f aca="false">IF($H301="","",INDEX(Задачи!$B$1:$B$501,$H301)&amp;"")</f>
        <v/>
      </c>
      <c r="D301" s="39" t="str">
        <f aca="false">IF($H301="","",INDEX(Задачи!$C$1:$C$501,$H301)&amp;"")</f>
        <v/>
      </c>
      <c r="E301" s="41" t="str">
        <f aca="false">IF($H301="","",IF(INDEX(Задачи!$E$1:$E$501,$H301)="","",INDEX(Задачи!$E$1:$E$501,$H301)))</f>
        <v/>
      </c>
      <c r="F301" s="41" t="str">
        <f aca="false">IF($H301="","",IF(INDEX(Задачи!$F$1:$F$501,$H301)="","",INDEX(Задачи!$F$1:$F$501,$H301)))</f>
        <v/>
      </c>
      <c r="G301" s="40" t="str">
        <f aca="false">IF($H301="","",INDEX(Задачи!$I$1:$I$501,$H301)&amp;"")</f>
        <v/>
      </c>
      <c r="H301" s="20" t="str">
        <f aca="false">IFERROR(MOD(LARGE(Задачи!$P$2:$P$501,ROWS(H$5:H301)),1000),"")</f>
        <v/>
      </c>
    </row>
    <row r="302" customFormat="false" ht="30" hidden="false" customHeight="true" outlineLevel="0" collapsed="false">
      <c r="A302" s="39" t="str">
        <f aca="false">IF($H302="","",ROWS(A$5:A302))</f>
        <v/>
      </c>
      <c r="B302" s="40" t="str">
        <f aca="false">IF($H302="","",INDEX(Задачи!$A$1:$A$501,$H302)&amp;"")</f>
        <v/>
      </c>
      <c r="C302" s="40" t="str">
        <f aca="false">IF($H302="","",INDEX(Задачи!$B$1:$B$501,$H302)&amp;"")</f>
        <v/>
      </c>
      <c r="D302" s="39" t="str">
        <f aca="false">IF($H302="","",INDEX(Задачи!$C$1:$C$501,$H302)&amp;"")</f>
        <v/>
      </c>
      <c r="E302" s="41" t="str">
        <f aca="false">IF($H302="","",IF(INDEX(Задачи!$E$1:$E$501,$H302)="","",INDEX(Задачи!$E$1:$E$501,$H302)))</f>
        <v/>
      </c>
      <c r="F302" s="41" t="str">
        <f aca="false">IF($H302="","",IF(INDEX(Задачи!$F$1:$F$501,$H302)="","",INDEX(Задачи!$F$1:$F$501,$H302)))</f>
        <v/>
      </c>
      <c r="G302" s="40" t="str">
        <f aca="false">IF($H302="","",INDEX(Задачи!$I$1:$I$501,$H302)&amp;"")</f>
        <v/>
      </c>
      <c r="H302" s="20" t="str">
        <f aca="false">IFERROR(MOD(LARGE(Задачи!$P$2:$P$501,ROWS(H$5:H302)),1000),"")</f>
        <v/>
      </c>
    </row>
    <row r="303" customFormat="false" ht="30" hidden="false" customHeight="true" outlineLevel="0" collapsed="false">
      <c r="A303" s="39" t="str">
        <f aca="false">IF($H303="","",ROWS(A$5:A303))</f>
        <v/>
      </c>
      <c r="B303" s="40" t="str">
        <f aca="false">IF($H303="","",INDEX(Задачи!$A$1:$A$501,$H303)&amp;"")</f>
        <v/>
      </c>
      <c r="C303" s="40" t="str">
        <f aca="false">IF($H303="","",INDEX(Задачи!$B$1:$B$501,$H303)&amp;"")</f>
        <v/>
      </c>
      <c r="D303" s="39" t="str">
        <f aca="false">IF($H303="","",INDEX(Задачи!$C$1:$C$501,$H303)&amp;"")</f>
        <v/>
      </c>
      <c r="E303" s="41" t="str">
        <f aca="false">IF($H303="","",IF(INDEX(Задачи!$E$1:$E$501,$H303)="","",INDEX(Задачи!$E$1:$E$501,$H303)))</f>
        <v/>
      </c>
      <c r="F303" s="41" t="str">
        <f aca="false">IF($H303="","",IF(INDEX(Задачи!$F$1:$F$501,$H303)="","",INDEX(Задачи!$F$1:$F$501,$H303)))</f>
        <v/>
      </c>
      <c r="G303" s="40" t="str">
        <f aca="false">IF($H303="","",INDEX(Задачи!$I$1:$I$501,$H303)&amp;"")</f>
        <v/>
      </c>
      <c r="H303" s="20" t="str">
        <f aca="false">IFERROR(MOD(LARGE(Задачи!$P$2:$P$501,ROWS(H$5:H303)),1000),"")</f>
        <v/>
      </c>
    </row>
    <row r="304" customFormat="false" ht="30" hidden="false" customHeight="true" outlineLevel="0" collapsed="false">
      <c r="A304" s="39" t="str">
        <f aca="false">IF($H304="","",ROWS(A$5:A304))</f>
        <v/>
      </c>
      <c r="B304" s="40" t="str">
        <f aca="false">IF($H304="","",INDEX(Задачи!$A$1:$A$501,$H304)&amp;"")</f>
        <v/>
      </c>
      <c r="C304" s="40" t="str">
        <f aca="false">IF($H304="","",INDEX(Задачи!$B$1:$B$501,$H304)&amp;"")</f>
        <v/>
      </c>
      <c r="D304" s="39" t="str">
        <f aca="false">IF($H304="","",INDEX(Задачи!$C$1:$C$501,$H304)&amp;"")</f>
        <v/>
      </c>
      <c r="E304" s="41" t="str">
        <f aca="false">IF($H304="","",IF(INDEX(Задачи!$E$1:$E$501,$H304)="","",INDEX(Задачи!$E$1:$E$501,$H304)))</f>
        <v/>
      </c>
      <c r="F304" s="41" t="str">
        <f aca="false">IF($H304="","",IF(INDEX(Задачи!$F$1:$F$501,$H304)="","",INDEX(Задачи!$F$1:$F$501,$H304)))</f>
        <v/>
      </c>
      <c r="G304" s="40" t="str">
        <f aca="false">IF($H304="","",INDEX(Задачи!$I$1:$I$501,$H304)&amp;"")</f>
        <v/>
      </c>
      <c r="H304" s="20" t="str">
        <f aca="false">IFERROR(MOD(LARGE(Задачи!$P$2:$P$501,ROWS(H$5:H304)),1000),"")</f>
        <v/>
      </c>
    </row>
    <row r="305" customFormat="false" ht="30" hidden="false" customHeight="true" outlineLevel="0" collapsed="false">
      <c r="A305" s="39" t="str">
        <f aca="false">IF($H305="","",ROWS(A$5:A305))</f>
        <v/>
      </c>
      <c r="B305" s="40" t="str">
        <f aca="false">IF($H305="","",INDEX(Задачи!$A$1:$A$501,$H305)&amp;"")</f>
        <v/>
      </c>
      <c r="C305" s="40" t="str">
        <f aca="false">IF($H305="","",INDEX(Задачи!$B$1:$B$501,$H305)&amp;"")</f>
        <v/>
      </c>
      <c r="D305" s="39" t="str">
        <f aca="false">IF($H305="","",INDEX(Задачи!$C$1:$C$501,$H305)&amp;"")</f>
        <v/>
      </c>
      <c r="E305" s="41" t="str">
        <f aca="false">IF($H305="","",IF(INDEX(Задачи!$E$1:$E$501,$H305)="","",INDEX(Задачи!$E$1:$E$501,$H305)))</f>
        <v/>
      </c>
      <c r="F305" s="41" t="str">
        <f aca="false">IF($H305="","",IF(INDEX(Задачи!$F$1:$F$501,$H305)="","",INDEX(Задачи!$F$1:$F$501,$H305)))</f>
        <v/>
      </c>
      <c r="G305" s="40" t="str">
        <f aca="false">IF($H305="","",INDEX(Задачи!$I$1:$I$501,$H305)&amp;"")</f>
        <v/>
      </c>
      <c r="H305" s="20" t="str">
        <f aca="false">IFERROR(MOD(LARGE(Задачи!$P$2:$P$501,ROWS(H$5:H305)),1000),"")</f>
        <v/>
      </c>
    </row>
    <row r="306" customFormat="false" ht="30" hidden="false" customHeight="true" outlineLevel="0" collapsed="false">
      <c r="A306" s="39" t="str">
        <f aca="false">IF($H306="","",ROWS(A$5:A306))</f>
        <v/>
      </c>
      <c r="B306" s="40" t="str">
        <f aca="false">IF($H306="","",INDEX(Задачи!$A$1:$A$501,$H306)&amp;"")</f>
        <v/>
      </c>
      <c r="C306" s="40" t="str">
        <f aca="false">IF($H306="","",INDEX(Задачи!$B$1:$B$501,$H306)&amp;"")</f>
        <v/>
      </c>
      <c r="D306" s="39" t="str">
        <f aca="false">IF($H306="","",INDEX(Задачи!$C$1:$C$501,$H306)&amp;"")</f>
        <v/>
      </c>
      <c r="E306" s="41" t="str">
        <f aca="false">IF($H306="","",IF(INDEX(Задачи!$E$1:$E$501,$H306)="","",INDEX(Задачи!$E$1:$E$501,$H306)))</f>
        <v/>
      </c>
      <c r="F306" s="41" t="str">
        <f aca="false">IF($H306="","",IF(INDEX(Задачи!$F$1:$F$501,$H306)="","",INDEX(Задачи!$F$1:$F$501,$H306)))</f>
        <v/>
      </c>
      <c r="G306" s="40" t="str">
        <f aca="false">IF($H306="","",INDEX(Задачи!$I$1:$I$501,$H306)&amp;"")</f>
        <v/>
      </c>
      <c r="H306" s="20" t="str">
        <f aca="false">IFERROR(MOD(LARGE(Задачи!$P$2:$P$501,ROWS(H$5:H306)),1000),"")</f>
        <v/>
      </c>
    </row>
    <row r="307" customFormat="false" ht="30" hidden="false" customHeight="true" outlineLevel="0" collapsed="false">
      <c r="A307" s="39" t="str">
        <f aca="false">IF($H307="","",ROWS(A$5:A307))</f>
        <v/>
      </c>
      <c r="B307" s="40" t="str">
        <f aca="false">IF($H307="","",INDEX(Задачи!$A$1:$A$501,$H307)&amp;"")</f>
        <v/>
      </c>
      <c r="C307" s="40" t="str">
        <f aca="false">IF($H307="","",INDEX(Задачи!$B$1:$B$501,$H307)&amp;"")</f>
        <v/>
      </c>
      <c r="D307" s="39" t="str">
        <f aca="false">IF($H307="","",INDEX(Задачи!$C$1:$C$501,$H307)&amp;"")</f>
        <v/>
      </c>
      <c r="E307" s="41" t="str">
        <f aca="false">IF($H307="","",IF(INDEX(Задачи!$E$1:$E$501,$H307)="","",INDEX(Задачи!$E$1:$E$501,$H307)))</f>
        <v/>
      </c>
      <c r="F307" s="41" t="str">
        <f aca="false">IF($H307="","",IF(INDEX(Задачи!$F$1:$F$501,$H307)="","",INDEX(Задачи!$F$1:$F$501,$H307)))</f>
        <v/>
      </c>
      <c r="G307" s="40" t="str">
        <f aca="false">IF($H307="","",INDEX(Задачи!$I$1:$I$501,$H307)&amp;"")</f>
        <v/>
      </c>
      <c r="H307" s="20" t="str">
        <f aca="false">IFERROR(MOD(LARGE(Задачи!$P$2:$P$501,ROWS(H$5:H307)),1000),"")</f>
        <v/>
      </c>
    </row>
    <row r="308" customFormat="false" ht="30" hidden="false" customHeight="true" outlineLevel="0" collapsed="false">
      <c r="A308" s="39" t="str">
        <f aca="false">IF($H308="","",ROWS(A$5:A308))</f>
        <v/>
      </c>
      <c r="B308" s="40" t="str">
        <f aca="false">IF($H308="","",INDEX(Задачи!$A$1:$A$501,$H308)&amp;"")</f>
        <v/>
      </c>
      <c r="C308" s="40" t="str">
        <f aca="false">IF($H308="","",INDEX(Задачи!$B$1:$B$501,$H308)&amp;"")</f>
        <v/>
      </c>
      <c r="D308" s="39" t="str">
        <f aca="false">IF($H308="","",INDEX(Задачи!$C$1:$C$501,$H308)&amp;"")</f>
        <v/>
      </c>
      <c r="E308" s="41" t="str">
        <f aca="false">IF($H308="","",IF(INDEX(Задачи!$E$1:$E$501,$H308)="","",INDEX(Задачи!$E$1:$E$501,$H308)))</f>
        <v/>
      </c>
      <c r="F308" s="41" t="str">
        <f aca="false">IF($H308="","",IF(INDEX(Задачи!$F$1:$F$501,$H308)="","",INDEX(Задачи!$F$1:$F$501,$H308)))</f>
        <v/>
      </c>
      <c r="G308" s="40" t="str">
        <f aca="false">IF($H308="","",INDEX(Задачи!$I$1:$I$501,$H308)&amp;"")</f>
        <v/>
      </c>
      <c r="H308" s="20" t="str">
        <f aca="false">IFERROR(MOD(LARGE(Задачи!$P$2:$P$501,ROWS(H$5:H308)),1000),"")</f>
        <v/>
      </c>
    </row>
    <row r="309" customFormat="false" ht="30" hidden="false" customHeight="true" outlineLevel="0" collapsed="false">
      <c r="A309" s="39" t="str">
        <f aca="false">IF($H309="","",ROWS(A$5:A309))</f>
        <v/>
      </c>
      <c r="B309" s="40" t="str">
        <f aca="false">IF($H309="","",INDEX(Задачи!$A$1:$A$501,$H309)&amp;"")</f>
        <v/>
      </c>
      <c r="C309" s="40" t="str">
        <f aca="false">IF($H309="","",INDEX(Задачи!$B$1:$B$501,$H309)&amp;"")</f>
        <v/>
      </c>
      <c r="D309" s="39" t="str">
        <f aca="false">IF($H309="","",INDEX(Задачи!$C$1:$C$501,$H309)&amp;"")</f>
        <v/>
      </c>
      <c r="E309" s="41" t="str">
        <f aca="false">IF($H309="","",IF(INDEX(Задачи!$E$1:$E$501,$H309)="","",INDEX(Задачи!$E$1:$E$501,$H309)))</f>
        <v/>
      </c>
      <c r="F309" s="41" t="str">
        <f aca="false">IF($H309="","",IF(INDEX(Задачи!$F$1:$F$501,$H309)="","",INDEX(Задачи!$F$1:$F$501,$H309)))</f>
        <v/>
      </c>
      <c r="G309" s="40" t="str">
        <f aca="false">IF($H309="","",INDEX(Задачи!$I$1:$I$501,$H309)&amp;"")</f>
        <v/>
      </c>
      <c r="H309" s="20" t="str">
        <f aca="false">IFERROR(MOD(LARGE(Задачи!$P$2:$P$501,ROWS(H$5:H309)),1000),"")</f>
        <v/>
      </c>
    </row>
    <row r="310" customFormat="false" ht="30" hidden="false" customHeight="true" outlineLevel="0" collapsed="false">
      <c r="A310" s="39" t="str">
        <f aca="false">IF($H310="","",ROWS(A$5:A310))</f>
        <v/>
      </c>
      <c r="B310" s="40" t="str">
        <f aca="false">IF($H310="","",INDEX(Задачи!$A$1:$A$501,$H310)&amp;"")</f>
        <v/>
      </c>
      <c r="C310" s="40" t="str">
        <f aca="false">IF($H310="","",INDEX(Задачи!$B$1:$B$501,$H310)&amp;"")</f>
        <v/>
      </c>
      <c r="D310" s="39" t="str">
        <f aca="false">IF($H310="","",INDEX(Задачи!$C$1:$C$501,$H310)&amp;"")</f>
        <v/>
      </c>
      <c r="E310" s="41" t="str">
        <f aca="false">IF($H310="","",IF(INDEX(Задачи!$E$1:$E$501,$H310)="","",INDEX(Задачи!$E$1:$E$501,$H310)))</f>
        <v/>
      </c>
      <c r="F310" s="41" t="str">
        <f aca="false">IF($H310="","",IF(INDEX(Задачи!$F$1:$F$501,$H310)="","",INDEX(Задачи!$F$1:$F$501,$H310)))</f>
        <v/>
      </c>
      <c r="G310" s="40" t="str">
        <f aca="false">IF($H310="","",INDEX(Задачи!$I$1:$I$501,$H310)&amp;"")</f>
        <v/>
      </c>
      <c r="H310" s="20" t="str">
        <f aca="false">IFERROR(MOD(LARGE(Задачи!$P$2:$P$501,ROWS(H$5:H310)),1000),"")</f>
        <v/>
      </c>
    </row>
    <row r="311" customFormat="false" ht="30" hidden="false" customHeight="true" outlineLevel="0" collapsed="false">
      <c r="A311" s="39" t="str">
        <f aca="false">IF($H311="","",ROWS(A$5:A311))</f>
        <v/>
      </c>
      <c r="B311" s="40" t="str">
        <f aca="false">IF($H311="","",INDEX(Задачи!$A$1:$A$501,$H311)&amp;"")</f>
        <v/>
      </c>
      <c r="C311" s="40" t="str">
        <f aca="false">IF($H311="","",INDEX(Задачи!$B$1:$B$501,$H311)&amp;"")</f>
        <v/>
      </c>
      <c r="D311" s="39" t="str">
        <f aca="false">IF($H311="","",INDEX(Задачи!$C$1:$C$501,$H311)&amp;"")</f>
        <v/>
      </c>
      <c r="E311" s="41" t="str">
        <f aca="false">IF($H311="","",IF(INDEX(Задачи!$E$1:$E$501,$H311)="","",INDEX(Задачи!$E$1:$E$501,$H311)))</f>
        <v/>
      </c>
      <c r="F311" s="41" t="str">
        <f aca="false">IF($H311="","",IF(INDEX(Задачи!$F$1:$F$501,$H311)="","",INDEX(Задачи!$F$1:$F$501,$H311)))</f>
        <v/>
      </c>
      <c r="G311" s="40" t="str">
        <f aca="false">IF($H311="","",INDEX(Задачи!$I$1:$I$501,$H311)&amp;"")</f>
        <v/>
      </c>
      <c r="H311" s="20" t="str">
        <f aca="false">IFERROR(MOD(LARGE(Задачи!$P$2:$P$501,ROWS(H$5:H311)),1000),"")</f>
        <v/>
      </c>
    </row>
    <row r="312" customFormat="false" ht="30" hidden="false" customHeight="true" outlineLevel="0" collapsed="false">
      <c r="A312" s="39" t="str">
        <f aca="false">IF($H312="","",ROWS(A$5:A312))</f>
        <v/>
      </c>
      <c r="B312" s="40" t="str">
        <f aca="false">IF($H312="","",INDEX(Задачи!$A$1:$A$501,$H312)&amp;"")</f>
        <v/>
      </c>
      <c r="C312" s="40" t="str">
        <f aca="false">IF($H312="","",INDEX(Задачи!$B$1:$B$501,$H312)&amp;"")</f>
        <v/>
      </c>
      <c r="D312" s="39" t="str">
        <f aca="false">IF($H312="","",INDEX(Задачи!$C$1:$C$501,$H312)&amp;"")</f>
        <v/>
      </c>
      <c r="E312" s="41" t="str">
        <f aca="false">IF($H312="","",IF(INDEX(Задачи!$E$1:$E$501,$H312)="","",INDEX(Задачи!$E$1:$E$501,$H312)))</f>
        <v/>
      </c>
      <c r="F312" s="41" t="str">
        <f aca="false">IF($H312="","",IF(INDEX(Задачи!$F$1:$F$501,$H312)="","",INDEX(Задачи!$F$1:$F$501,$H312)))</f>
        <v/>
      </c>
      <c r="G312" s="40" t="str">
        <f aca="false">IF($H312="","",INDEX(Задачи!$I$1:$I$501,$H312)&amp;"")</f>
        <v/>
      </c>
      <c r="H312" s="20" t="str">
        <f aca="false">IFERROR(MOD(LARGE(Задачи!$P$2:$P$501,ROWS(H$5:H312)),1000),"")</f>
        <v/>
      </c>
    </row>
    <row r="313" customFormat="false" ht="30" hidden="false" customHeight="true" outlineLevel="0" collapsed="false">
      <c r="A313" s="39" t="str">
        <f aca="false">IF($H313="","",ROWS(A$5:A313))</f>
        <v/>
      </c>
      <c r="B313" s="40" t="str">
        <f aca="false">IF($H313="","",INDEX(Задачи!$A$1:$A$501,$H313)&amp;"")</f>
        <v/>
      </c>
      <c r="C313" s="40" t="str">
        <f aca="false">IF($H313="","",INDEX(Задачи!$B$1:$B$501,$H313)&amp;"")</f>
        <v/>
      </c>
      <c r="D313" s="39" t="str">
        <f aca="false">IF($H313="","",INDEX(Задачи!$C$1:$C$501,$H313)&amp;"")</f>
        <v/>
      </c>
      <c r="E313" s="41" t="str">
        <f aca="false">IF($H313="","",IF(INDEX(Задачи!$E$1:$E$501,$H313)="","",INDEX(Задачи!$E$1:$E$501,$H313)))</f>
        <v/>
      </c>
      <c r="F313" s="41" t="str">
        <f aca="false">IF($H313="","",IF(INDEX(Задачи!$F$1:$F$501,$H313)="","",INDEX(Задачи!$F$1:$F$501,$H313)))</f>
        <v/>
      </c>
      <c r="G313" s="40" t="str">
        <f aca="false">IF($H313="","",INDEX(Задачи!$I$1:$I$501,$H313)&amp;"")</f>
        <v/>
      </c>
      <c r="H313" s="20" t="str">
        <f aca="false">IFERROR(MOD(LARGE(Задачи!$P$2:$P$501,ROWS(H$5:H313)),1000),"")</f>
        <v/>
      </c>
    </row>
    <row r="314" customFormat="false" ht="30" hidden="false" customHeight="true" outlineLevel="0" collapsed="false">
      <c r="A314" s="39" t="str">
        <f aca="false">IF($H314="","",ROWS(A$5:A314))</f>
        <v/>
      </c>
      <c r="B314" s="40" t="str">
        <f aca="false">IF($H314="","",INDEX(Задачи!$A$1:$A$501,$H314)&amp;"")</f>
        <v/>
      </c>
      <c r="C314" s="40" t="str">
        <f aca="false">IF($H314="","",INDEX(Задачи!$B$1:$B$501,$H314)&amp;"")</f>
        <v/>
      </c>
      <c r="D314" s="39" t="str">
        <f aca="false">IF($H314="","",INDEX(Задачи!$C$1:$C$501,$H314)&amp;"")</f>
        <v/>
      </c>
      <c r="E314" s="41" t="str">
        <f aca="false">IF($H314="","",IF(INDEX(Задачи!$E$1:$E$501,$H314)="","",INDEX(Задачи!$E$1:$E$501,$H314)))</f>
        <v/>
      </c>
      <c r="F314" s="41" t="str">
        <f aca="false">IF($H314="","",IF(INDEX(Задачи!$F$1:$F$501,$H314)="","",INDEX(Задачи!$F$1:$F$501,$H314)))</f>
        <v/>
      </c>
      <c r="G314" s="40" t="str">
        <f aca="false">IF($H314="","",INDEX(Задачи!$I$1:$I$501,$H314)&amp;"")</f>
        <v/>
      </c>
      <c r="H314" s="20" t="str">
        <f aca="false">IFERROR(MOD(LARGE(Задачи!$P$2:$P$501,ROWS(H$5:H314)),1000),"")</f>
        <v/>
      </c>
    </row>
    <row r="315" customFormat="false" ht="30" hidden="false" customHeight="true" outlineLevel="0" collapsed="false">
      <c r="A315" s="39" t="str">
        <f aca="false">IF($H315="","",ROWS(A$5:A315))</f>
        <v/>
      </c>
      <c r="B315" s="40" t="str">
        <f aca="false">IF($H315="","",INDEX(Задачи!$A$1:$A$501,$H315)&amp;"")</f>
        <v/>
      </c>
      <c r="C315" s="40" t="str">
        <f aca="false">IF($H315="","",INDEX(Задачи!$B$1:$B$501,$H315)&amp;"")</f>
        <v/>
      </c>
      <c r="D315" s="39" t="str">
        <f aca="false">IF($H315="","",INDEX(Задачи!$C$1:$C$501,$H315)&amp;"")</f>
        <v/>
      </c>
      <c r="E315" s="41" t="str">
        <f aca="false">IF($H315="","",IF(INDEX(Задачи!$E$1:$E$501,$H315)="","",INDEX(Задачи!$E$1:$E$501,$H315)))</f>
        <v/>
      </c>
      <c r="F315" s="41" t="str">
        <f aca="false">IF($H315="","",IF(INDEX(Задачи!$F$1:$F$501,$H315)="","",INDEX(Задачи!$F$1:$F$501,$H315)))</f>
        <v/>
      </c>
      <c r="G315" s="40" t="str">
        <f aca="false">IF($H315="","",INDEX(Задачи!$I$1:$I$501,$H315)&amp;"")</f>
        <v/>
      </c>
      <c r="H315" s="20" t="str">
        <f aca="false">IFERROR(MOD(LARGE(Задачи!$P$2:$P$501,ROWS(H$5:H315)),1000),"")</f>
        <v/>
      </c>
    </row>
    <row r="316" customFormat="false" ht="30" hidden="false" customHeight="true" outlineLevel="0" collapsed="false">
      <c r="A316" s="39" t="str">
        <f aca="false">IF($H316="","",ROWS(A$5:A316))</f>
        <v/>
      </c>
      <c r="B316" s="40" t="str">
        <f aca="false">IF($H316="","",INDEX(Задачи!$A$1:$A$501,$H316)&amp;"")</f>
        <v/>
      </c>
      <c r="C316" s="40" t="str">
        <f aca="false">IF($H316="","",INDEX(Задачи!$B$1:$B$501,$H316)&amp;"")</f>
        <v/>
      </c>
      <c r="D316" s="39" t="str">
        <f aca="false">IF($H316="","",INDEX(Задачи!$C$1:$C$501,$H316)&amp;"")</f>
        <v/>
      </c>
      <c r="E316" s="41" t="str">
        <f aca="false">IF($H316="","",IF(INDEX(Задачи!$E$1:$E$501,$H316)="","",INDEX(Задачи!$E$1:$E$501,$H316)))</f>
        <v/>
      </c>
      <c r="F316" s="41" t="str">
        <f aca="false">IF($H316="","",IF(INDEX(Задачи!$F$1:$F$501,$H316)="","",INDEX(Задачи!$F$1:$F$501,$H316)))</f>
        <v/>
      </c>
      <c r="G316" s="40" t="str">
        <f aca="false">IF($H316="","",INDEX(Задачи!$I$1:$I$501,$H316)&amp;"")</f>
        <v/>
      </c>
      <c r="H316" s="20" t="str">
        <f aca="false">IFERROR(MOD(LARGE(Задачи!$P$2:$P$501,ROWS(H$5:H316)),1000),"")</f>
        <v/>
      </c>
    </row>
    <row r="317" customFormat="false" ht="30" hidden="false" customHeight="true" outlineLevel="0" collapsed="false">
      <c r="A317" s="39" t="str">
        <f aca="false">IF($H317="","",ROWS(A$5:A317))</f>
        <v/>
      </c>
      <c r="B317" s="40" t="str">
        <f aca="false">IF($H317="","",INDEX(Задачи!$A$1:$A$501,$H317)&amp;"")</f>
        <v/>
      </c>
      <c r="C317" s="40" t="str">
        <f aca="false">IF($H317="","",INDEX(Задачи!$B$1:$B$501,$H317)&amp;"")</f>
        <v/>
      </c>
      <c r="D317" s="39" t="str">
        <f aca="false">IF($H317="","",INDEX(Задачи!$C$1:$C$501,$H317)&amp;"")</f>
        <v/>
      </c>
      <c r="E317" s="41" t="str">
        <f aca="false">IF($H317="","",IF(INDEX(Задачи!$E$1:$E$501,$H317)="","",INDEX(Задачи!$E$1:$E$501,$H317)))</f>
        <v/>
      </c>
      <c r="F317" s="41" t="str">
        <f aca="false">IF($H317="","",IF(INDEX(Задачи!$F$1:$F$501,$H317)="","",INDEX(Задачи!$F$1:$F$501,$H317)))</f>
        <v/>
      </c>
      <c r="G317" s="40" t="str">
        <f aca="false">IF($H317="","",INDEX(Задачи!$I$1:$I$501,$H317)&amp;"")</f>
        <v/>
      </c>
      <c r="H317" s="20" t="str">
        <f aca="false">IFERROR(MOD(LARGE(Задачи!$P$2:$P$501,ROWS(H$5:H317)),1000),"")</f>
        <v/>
      </c>
    </row>
    <row r="318" customFormat="false" ht="30" hidden="false" customHeight="true" outlineLevel="0" collapsed="false">
      <c r="A318" s="39" t="str">
        <f aca="false">IF($H318="","",ROWS(A$5:A318))</f>
        <v/>
      </c>
      <c r="B318" s="40" t="str">
        <f aca="false">IF($H318="","",INDEX(Задачи!$A$1:$A$501,$H318)&amp;"")</f>
        <v/>
      </c>
      <c r="C318" s="40" t="str">
        <f aca="false">IF($H318="","",INDEX(Задачи!$B$1:$B$501,$H318)&amp;"")</f>
        <v/>
      </c>
      <c r="D318" s="39" t="str">
        <f aca="false">IF($H318="","",INDEX(Задачи!$C$1:$C$501,$H318)&amp;"")</f>
        <v/>
      </c>
      <c r="E318" s="41" t="str">
        <f aca="false">IF($H318="","",IF(INDEX(Задачи!$E$1:$E$501,$H318)="","",INDEX(Задачи!$E$1:$E$501,$H318)))</f>
        <v/>
      </c>
      <c r="F318" s="41" t="str">
        <f aca="false">IF($H318="","",IF(INDEX(Задачи!$F$1:$F$501,$H318)="","",INDEX(Задачи!$F$1:$F$501,$H318)))</f>
        <v/>
      </c>
      <c r="G318" s="40" t="str">
        <f aca="false">IF($H318="","",INDEX(Задачи!$I$1:$I$501,$H318)&amp;"")</f>
        <v/>
      </c>
      <c r="H318" s="20" t="str">
        <f aca="false">IFERROR(MOD(LARGE(Задачи!$P$2:$P$501,ROWS(H$5:H318)),1000),"")</f>
        <v/>
      </c>
    </row>
    <row r="319" customFormat="false" ht="30" hidden="false" customHeight="true" outlineLevel="0" collapsed="false">
      <c r="A319" s="39" t="str">
        <f aca="false">IF($H319="","",ROWS(A$5:A319))</f>
        <v/>
      </c>
      <c r="B319" s="40" t="str">
        <f aca="false">IF($H319="","",INDEX(Задачи!$A$1:$A$501,$H319)&amp;"")</f>
        <v/>
      </c>
      <c r="C319" s="40" t="str">
        <f aca="false">IF($H319="","",INDEX(Задачи!$B$1:$B$501,$H319)&amp;"")</f>
        <v/>
      </c>
      <c r="D319" s="39" t="str">
        <f aca="false">IF($H319="","",INDEX(Задачи!$C$1:$C$501,$H319)&amp;"")</f>
        <v/>
      </c>
      <c r="E319" s="41" t="str">
        <f aca="false">IF($H319="","",IF(INDEX(Задачи!$E$1:$E$501,$H319)="","",INDEX(Задачи!$E$1:$E$501,$H319)))</f>
        <v/>
      </c>
      <c r="F319" s="41" t="str">
        <f aca="false">IF($H319="","",IF(INDEX(Задачи!$F$1:$F$501,$H319)="","",INDEX(Задачи!$F$1:$F$501,$H319)))</f>
        <v/>
      </c>
      <c r="G319" s="40" t="str">
        <f aca="false">IF($H319="","",INDEX(Задачи!$I$1:$I$501,$H319)&amp;"")</f>
        <v/>
      </c>
      <c r="H319" s="20" t="str">
        <f aca="false">IFERROR(MOD(LARGE(Задачи!$P$2:$P$501,ROWS(H$5:H319)),1000),"")</f>
        <v/>
      </c>
    </row>
    <row r="320" customFormat="false" ht="30" hidden="false" customHeight="true" outlineLevel="0" collapsed="false">
      <c r="A320" s="39" t="str">
        <f aca="false">IF($H320="","",ROWS(A$5:A320))</f>
        <v/>
      </c>
      <c r="B320" s="40" t="str">
        <f aca="false">IF($H320="","",INDEX(Задачи!$A$1:$A$501,$H320)&amp;"")</f>
        <v/>
      </c>
      <c r="C320" s="40" t="str">
        <f aca="false">IF($H320="","",INDEX(Задачи!$B$1:$B$501,$H320)&amp;"")</f>
        <v/>
      </c>
      <c r="D320" s="39" t="str">
        <f aca="false">IF($H320="","",INDEX(Задачи!$C$1:$C$501,$H320)&amp;"")</f>
        <v/>
      </c>
      <c r="E320" s="41" t="str">
        <f aca="false">IF($H320="","",IF(INDEX(Задачи!$E$1:$E$501,$H320)="","",INDEX(Задачи!$E$1:$E$501,$H320)))</f>
        <v/>
      </c>
      <c r="F320" s="41" t="str">
        <f aca="false">IF($H320="","",IF(INDEX(Задачи!$F$1:$F$501,$H320)="","",INDEX(Задачи!$F$1:$F$501,$H320)))</f>
        <v/>
      </c>
      <c r="G320" s="40" t="str">
        <f aca="false">IF($H320="","",INDEX(Задачи!$I$1:$I$501,$H320)&amp;"")</f>
        <v/>
      </c>
      <c r="H320" s="20" t="str">
        <f aca="false">IFERROR(MOD(LARGE(Задачи!$P$2:$P$501,ROWS(H$5:H320)),1000),"")</f>
        <v/>
      </c>
    </row>
    <row r="321" customFormat="false" ht="30" hidden="false" customHeight="true" outlineLevel="0" collapsed="false">
      <c r="A321" s="39" t="str">
        <f aca="false">IF($H321="","",ROWS(A$5:A321))</f>
        <v/>
      </c>
      <c r="B321" s="40" t="str">
        <f aca="false">IF($H321="","",INDEX(Задачи!$A$1:$A$501,$H321)&amp;"")</f>
        <v/>
      </c>
      <c r="C321" s="40" t="str">
        <f aca="false">IF($H321="","",INDEX(Задачи!$B$1:$B$501,$H321)&amp;"")</f>
        <v/>
      </c>
      <c r="D321" s="39" t="str">
        <f aca="false">IF($H321="","",INDEX(Задачи!$C$1:$C$501,$H321)&amp;"")</f>
        <v/>
      </c>
      <c r="E321" s="41" t="str">
        <f aca="false">IF($H321="","",IF(INDEX(Задачи!$E$1:$E$501,$H321)="","",INDEX(Задачи!$E$1:$E$501,$H321)))</f>
        <v/>
      </c>
      <c r="F321" s="41" t="str">
        <f aca="false">IF($H321="","",IF(INDEX(Задачи!$F$1:$F$501,$H321)="","",INDEX(Задачи!$F$1:$F$501,$H321)))</f>
        <v/>
      </c>
      <c r="G321" s="40" t="str">
        <f aca="false">IF($H321="","",INDEX(Задачи!$I$1:$I$501,$H321)&amp;"")</f>
        <v/>
      </c>
      <c r="H321" s="20" t="str">
        <f aca="false">IFERROR(MOD(LARGE(Задачи!$P$2:$P$501,ROWS(H$5:H321)),1000),"")</f>
        <v/>
      </c>
    </row>
    <row r="322" customFormat="false" ht="30" hidden="false" customHeight="true" outlineLevel="0" collapsed="false">
      <c r="A322" s="39" t="str">
        <f aca="false">IF($H322="","",ROWS(A$5:A322))</f>
        <v/>
      </c>
      <c r="B322" s="40" t="str">
        <f aca="false">IF($H322="","",INDEX(Задачи!$A$1:$A$501,$H322)&amp;"")</f>
        <v/>
      </c>
      <c r="C322" s="40" t="str">
        <f aca="false">IF($H322="","",INDEX(Задачи!$B$1:$B$501,$H322)&amp;"")</f>
        <v/>
      </c>
      <c r="D322" s="39" t="str">
        <f aca="false">IF($H322="","",INDEX(Задачи!$C$1:$C$501,$H322)&amp;"")</f>
        <v/>
      </c>
      <c r="E322" s="41" t="str">
        <f aca="false">IF($H322="","",IF(INDEX(Задачи!$E$1:$E$501,$H322)="","",INDEX(Задачи!$E$1:$E$501,$H322)))</f>
        <v/>
      </c>
      <c r="F322" s="41" t="str">
        <f aca="false">IF($H322="","",IF(INDEX(Задачи!$F$1:$F$501,$H322)="","",INDEX(Задачи!$F$1:$F$501,$H322)))</f>
        <v/>
      </c>
      <c r="G322" s="40" t="str">
        <f aca="false">IF($H322="","",INDEX(Задачи!$I$1:$I$501,$H322)&amp;"")</f>
        <v/>
      </c>
      <c r="H322" s="20" t="str">
        <f aca="false">IFERROR(MOD(LARGE(Задачи!$P$2:$P$501,ROWS(H$5:H322)),1000),"")</f>
        <v/>
      </c>
    </row>
    <row r="323" customFormat="false" ht="30" hidden="false" customHeight="true" outlineLevel="0" collapsed="false">
      <c r="A323" s="39" t="str">
        <f aca="false">IF($H323="","",ROWS(A$5:A323))</f>
        <v/>
      </c>
      <c r="B323" s="40" t="str">
        <f aca="false">IF($H323="","",INDEX(Задачи!$A$1:$A$501,$H323)&amp;"")</f>
        <v/>
      </c>
      <c r="C323" s="40" t="str">
        <f aca="false">IF($H323="","",INDEX(Задачи!$B$1:$B$501,$H323)&amp;"")</f>
        <v/>
      </c>
      <c r="D323" s="39" t="str">
        <f aca="false">IF($H323="","",INDEX(Задачи!$C$1:$C$501,$H323)&amp;"")</f>
        <v/>
      </c>
      <c r="E323" s="41" t="str">
        <f aca="false">IF($H323="","",IF(INDEX(Задачи!$E$1:$E$501,$H323)="","",INDEX(Задачи!$E$1:$E$501,$H323)))</f>
        <v/>
      </c>
      <c r="F323" s="41" t="str">
        <f aca="false">IF($H323="","",IF(INDEX(Задачи!$F$1:$F$501,$H323)="","",INDEX(Задачи!$F$1:$F$501,$H323)))</f>
        <v/>
      </c>
      <c r="G323" s="40" t="str">
        <f aca="false">IF($H323="","",INDEX(Задачи!$I$1:$I$501,$H323)&amp;"")</f>
        <v/>
      </c>
      <c r="H323" s="20" t="str">
        <f aca="false">IFERROR(MOD(LARGE(Задачи!$P$2:$P$501,ROWS(H$5:H323)),1000),"")</f>
        <v/>
      </c>
    </row>
    <row r="324" customFormat="false" ht="30" hidden="false" customHeight="true" outlineLevel="0" collapsed="false">
      <c r="A324" s="39" t="str">
        <f aca="false">IF($H324="","",ROWS(A$5:A324))</f>
        <v/>
      </c>
      <c r="B324" s="40" t="str">
        <f aca="false">IF($H324="","",INDEX(Задачи!$A$1:$A$501,$H324)&amp;"")</f>
        <v/>
      </c>
      <c r="C324" s="40" t="str">
        <f aca="false">IF($H324="","",INDEX(Задачи!$B$1:$B$501,$H324)&amp;"")</f>
        <v/>
      </c>
      <c r="D324" s="39" t="str">
        <f aca="false">IF($H324="","",INDEX(Задачи!$C$1:$C$501,$H324)&amp;"")</f>
        <v/>
      </c>
      <c r="E324" s="41" t="str">
        <f aca="false">IF($H324="","",IF(INDEX(Задачи!$E$1:$E$501,$H324)="","",INDEX(Задачи!$E$1:$E$501,$H324)))</f>
        <v/>
      </c>
      <c r="F324" s="41" t="str">
        <f aca="false">IF($H324="","",IF(INDEX(Задачи!$F$1:$F$501,$H324)="","",INDEX(Задачи!$F$1:$F$501,$H324)))</f>
        <v/>
      </c>
      <c r="G324" s="40" t="str">
        <f aca="false">IF($H324="","",INDEX(Задачи!$I$1:$I$501,$H324)&amp;"")</f>
        <v/>
      </c>
      <c r="H324" s="20" t="str">
        <f aca="false">IFERROR(MOD(LARGE(Задачи!$P$2:$P$501,ROWS(H$5:H324)),1000),"")</f>
        <v/>
      </c>
    </row>
    <row r="325" customFormat="false" ht="30" hidden="false" customHeight="true" outlineLevel="0" collapsed="false">
      <c r="A325" s="39" t="str">
        <f aca="false">IF($H325="","",ROWS(A$5:A325))</f>
        <v/>
      </c>
      <c r="B325" s="40" t="str">
        <f aca="false">IF($H325="","",INDEX(Задачи!$A$1:$A$501,$H325)&amp;"")</f>
        <v/>
      </c>
      <c r="C325" s="40" t="str">
        <f aca="false">IF($H325="","",INDEX(Задачи!$B$1:$B$501,$H325)&amp;"")</f>
        <v/>
      </c>
      <c r="D325" s="39" t="str">
        <f aca="false">IF($H325="","",INDEX(Задачи!$C$1:$C$501,$H325)&amp;"")</f>
        <v/>
      </c>
      <c r="E325" s="41" t="str">
        <f aca="false">IF($H325="","",IF(INDEX(Задачи!$E$1:$E$501,$H325)="","",INDEX(Задачи!$E$1:$E$501,$H325)))</f>
        <v/>
      </c>
      <c r="F325" s="41" t="str">
        <f aca="false">IF($H325="","",IF(INDEX(Задачи!$F$1:$F$501,$H325)="","",INDEX(Задачи!$F$1:$F$501,$H325)))</f>
        <v/>
      </c>
      <c r="G325" s="40" t="str">
        <f aca="false">IF($H325="","",INDEX(Задачи!$I$1:$I$501,$H325)&amp;"")</f>
        <v/>
      </c>
      <c r="H325" s="20" t="str">
        <f aca="false">IFERROR(MOD(LARGE(Задачи!$P$2:$P$501,ROWS(H$5:H325)),1000),"")</f>
        <v/>
      </c>
    </row>
    <row r="326" customFormat="false" ht="30" hidden="false" customHeight="true" outlineLevel="0" collapsed="false">
      <c r="A326" s="39" t="str">
        <f aca="false">IF($H326="","",ROWS(A$5:A326))</f>
        <v/>
      </c>
      <c r="B326" s="40" t="str">
        <f aca="false">IF($H326="","",INDEX(Задачи!$A$1:$A$501,$H326)&amp;"")</f>
        <v/>
      </c>
      <c r="C326" s="40" t="str">
        <f aca="false">IF($H326="","",INDEX(Задачи!$B$1:$B$501,$H326)&amp;"")</f>
        <v/>
      </c>
      <c r="D326" s="39" t="str">
        <f aca="false">IF($H326="","",INDEX(Задачи!$C$1:$C$501,$H326)&amp;"")</f>
        <v/>
      </c>
      <c r="E326" s="41" t="str">
        <f aca="false">IF($H326="","",IF(INDEX(Задачи!$E$1:$E$501,$H326)="","",INDEX(Задачи!$E$1:$E$501,$H326)))</f>
        <v/>
      </c>
      <c r="F326" s="41" t="str">
        <f aca="false">IF($H326="","",IF(INDEX(Задачи!$F$1:$F$501,$H326)="","",INDEX(Задачи!$F$1:$F$501,$H326)))</f>
        <v/>
      </c>
      <c r="G326" s="40" t="str">
        <f aca="false">IF($H326="","",INDEX(Задачи!$I$1:$I$501,$H326)&amp;"")</f>
        <v/>
      </c>
      <c r="H326" s="20" t="str">
        <f aca="false">IFERROR(MOD(LARGE(Задачи!$P$2:$P$501,ROWS(H$5:H326)),1000),"")</f>
        <v/>
      </c>
    </row>
    <row r="327" customFormat="false" ht="30" hidden="false" customHeight="true" outlineLevel="0" collapsed="false">
      <c r="A327" s="39" t="str">
        <f aca="false">IF($H327="","",ROWS(A$5:A327))</f>
        <v/>
      </c>
      <c r="B327" s="40" t="str">
        <f aca="false">IF($H327="","",INDEX(Задачи!$A$1:$A$501,$H327)&amp;"")</f>
        <v/>
      </c>
      <c r="C327" s="40" t="str">
        <f aca="false">IF($H327="","",INDEX(Задачи!$B$1:$B$501,$H327)&amp;"")</f>
        <v/>
      </c>
      <c r="D327" s="39" t="str">
        <f aca="false">IF($H327="","",INDEX(Задачи!$C$1:$C$501,$H327)&amp;"")</f>
        <v/>
      </c>
      <c r="E327" s="41" t="str">
        <f aca="false">IF($H327="","",IF(INDEX(Задачи!$E$1:$E$501,$H327)="","",INDEX(Задачи!$E$1:$E$501,$H327)))</f>
        <v/>
      </c>
      <c r="F327" s="41" t="str">
        <f aca="false">IF($H327="","",IF(INDEX(Задачи!$F$1:$F$501,$H327)="","",INDEX(Задачи!$F$1:$F$501,$H327)))</f>
        <v/>
      </c>
      <c r="G327" s="40" t="str">
        <f aca="false">IF($H327="","",INDEX(Задачи!$I$1:$I$501,$H327)&amp;"")</f>
        <v/>
      </c>
      <c r="H327" s="20" t="str">
        <f aca="false">IFERROR(MOD(LARGE(Задачи!$P$2:$P$501,ROWS(H$5:H327)),1000),"")</f>
        <v/>
      </c>
    </row>
    <row r="328" customFormat="false" ht="30" hidden="false" customHeight="true" outlineLevel="0" collapsed="false">
      <c r="A328" s="39" t="str">
        <f aca="false">IF($H328="","",ROWS(A$5:A328))</f>
        <v/>
      </c>
      <c r="B328" s="40" t="str">
        <f aca="false">IF($H328="","",INDEX(Задачи!$A$1:$A$501,$H328)&amp;"")</f>
        <v/>
      </c>
      <c r="C328" s="40" t="str">
        <f aca="false">IF($H328="","",INDEX(Задачи!$B$1:$B$501,$H328)&amp;"")</f>
        <v/>
      </c>
      <c r="D328" s="39" t="str">
        <f aca="false">IF($H328="","",INDEX(Задачи!$C$1:$C$501,$H328)&amp;"")</f>
        <v/>
      </c>
      <c r="E328" s="41" t="str">
        <f aca="false">IF($H328="","",IF(INDEX(Задачи!$E$1:$E$501,$H328)="","",INDEX(Задачи!$E$1:$E$501,$H328)))</f>
        <v/>
      </c>
      <c r="F328" s="41" t="str">
        <f aca="false">IF($H328="","",IF(INDEX(Задачи!$F$1:$F$501,$H328)="","",INDEX(Задачи!$F$1:$F$501,$H328)))</f>
        <v/>
      </c>
      <c r="G328" s="40" t="str">
        <f aca="false">IF($H328="","",INDEX(Задачи!$I$1:$I$501,$H328)&amp;"")</f>
        <v/>
      </c>
      <c r="H328" s="20" t="str">
        <f aca="false">IFERROR(MOD(LARGE(Задачи!$P$2:$P$501,ROWS(H$5:H328)),1000),"")</f>
        <v/>
      </c>
    </row>
    <row r="329" customFormat="false" ht="30" hidden="false" customHeight="true" outlineLevel="0" collapsed="false">
      <c r="A329" s="39" t="str">
        <f aca="false">IF($H329="","",ROWS(A$5:A329))</f>
        <v/>
      </c>
      <c r="B329" s="40" t="str">
        <f aca="false">IF($H329="","",INDEX(Задачи!$A$1:$A$501,$H329)&amp;"")</f>
        <v/>
      </c>
      <c r="C329" s="40" t="str">
        <f aca="false">IF($H329="","",INDEX(Задачи!$B$1:$B$501,$H329)&amp;"")</f>
        <v/>
      </c>
      <c r="D329" s="39" t="str">
        <f aca="false">IF($H329="","",INDEX(Задачи!$C$1:$C$501,$H329)&amp;"")</f>
        <v/>
      </c>
      <c r="E329" s="41" t="str">
        <f aca="false">IF($H329="","",IF(INDEX(Задачи!$E$1:$E$501,$H329)="","",INDEX(Задачи!$E$1:$E$501,$H329)))</f>
        <v/>
      </c>
      <c r="F329" s="41" t="str">
        <f aca="false">IF($H329="","",IF(INDEX(Задачи!$F$1:$F$501,$H329)="","",INDEX(Задачи!$F$1:$F$501,$H329)))</f>
        <v/>
      </c>
      <c r="G329" s="40" t="str">
        <f aca="false">IF($H329="","",INDEX(Задачи!$I$1:$I$501,$H329)&amp;"")</f>
        <v/>
      </c>
      <c r="H329" s="20" t="str">
        <f aca="false">IFERROR(MOD(LARGE(Задачи!$P$2:$P$501,ROWS(H$5:H329)),1000),"")</f>
        <v/>
      </c>
    </row>
    <row r="330" customFormat="false" ht="30" hidden="false" customHeight="true" outlineLevel="0" collapsed="false">
      <c r="A330" s="39" t="str">
        <f aca="false">IF($H330="","",ROWS(A$5:A330))</f>
        <v/>
      </c>
      <c r="B330" s="40" t="str">
        <f aca="false">IF($H330="","",INDEX(Задачи!$A$1:$A$501,$H330)&amp;"")</f>
        <v/>
      </c>
      <c r="C330" s="40" t="str">
        <f aca="false">IF($H330="","",INDEX(Задачи!$B$1:$B$501,$H330)&amp;"")</f>
        <v/>
      </c>
      <c r="D330" s="39" t="str">
        <f aca="false">IF($H330="","",INDEX(Задачи!$C$1:$C$501,$H330)&amp;"")</f>
        <v/>
      </c>
      <c r="E330" s="41" t="str">
        <f aca="false">IF($H330="","",IF(INDEX(Задачи!$E$1:$E$501,$H330)="","",INDEX(Задачи!$E$1:$E$501,$H330)))</f>
        <v/>
      </c>
      <c r="F330" s="41" t="str">
        <f aca="false">IF($H330="","",IF(INDEX(Задачи!$F$1:$F$501,$H330)="","",INDEX(Задачи!$F$1:$F$501,$H330)))</f>
        <v/>
      </c>
      <c r="G330" s="40" t="str">
        <f aca="false">IF($H330="","",INDEX(Задачи!$I$1:$I$501,$H330)&amp;"")</f>
        <v/>
      </c>
      <c r="H330" s="20" t="str">
        <f aca="false">IFERROR(MOD(LARGE(Задачи!$P$2:$P$501,ROWS(H$5:H330)),1000),"")</f>
        <v/>
      </c>
    </row>
    <row r="331" customFormat="false" ht="30" hidden="false" customHeight="true" outlineLevel="0" collapsed="false">
      <c r="A331" s="39" t="str">
        <f aca="false">IF($H331="","",ROWS(A$5:A331))</f>
        <v/>
      </c>
      <c r="B331" s="40" t="str">
        <f aca="false">IF($H331="","",INDEX(Задачи!$A$1:$A$501,$H331)&amp;"")</f>
        <v/>
      </c>
      <c r="C331" s="40" t="str">
        <f aca="false">IF($H331="","",INDEX(Задачи!$B$1:$B$501,$H331)&amp;"")</f>
        <v/>
      </c>
      <c r="D331" s="39" t="str">
        <f aca="false">IF($H331="","",INDEX(Задачи!$C$1:$C$501,$H331)&amp;"")</f>
        <v/>
      </c>
      <c r="E331" s="41" t="str">
        <f aca="false">IF($H331="","",IF(INDEX(Задачи!$E$1:$E$501,$H331)="","",INDEX(Задачи!$E$1:$E$501,$H331)))</f>
        <v/>
      </c>
      <c r="F331" s="41" t="str">
        <f aca="false">IF($H331="","",IF(INDEX(Задачи!$F$1:$F$501,$H331)="","",INDEX(Задачи!$F$1:$F$501,$H331)))</f>
        <v/>
      </c>
      <c r="G331" s="40" t="str">
        <f aca="false">IF($H331="","",INDEX(Задачи!$I$1:$I$501,$H331)&amp;"")</f>
        <v/>
      </c>
      <c r="H331" s="20" t="str">
        <f aca="false">IFERROR(MOD(LARGE(Задачи!$P$2:$P$501,ROWS(H$5:H331)),1000),"")</f>
        <v/>
      </c>
    </row>
    <row r="332" customFormat="false" ht="30" hidden="false" customHeight="true" outlineLevel="0" collapsed="false">
      <c r="A332" s="39" t="str">
        <f aca="false">IF($H332="","",ROWS(A$5:A332))</f>
        <v/>
      </c>
      <c r="B332" s="40" t="str">
        <f aca="false">IF($H332="","",INDEX(Задачи!$A$1:$A$501,$H332)&amp;"")</f>
        <v/>
      </c>
      <c r="C332" s="40" t="str">
        <f aca="false">IF($H332="","",INDEX(Задачи!$B$1:$B$501,$H332)&amp;"")</f>
        <v/>
      </c>
      <c r="D332" s="39" t="str">
        <f aca="false">IF($H332="","",INDEX(Задачи!$C$1:$C$501,$H332)&amp;"")</f>
        <v/>
      </c>
      <c r="E332" s="41" t="str">
        <f aca="false">IF($H332="","",IF(INDEX(Задачи!$E$1:$E$501,$H332)="","",INDEX(Задачи!$E$1:$E$501,$H332)))</f>
        <v/>
      </c>
      <c r="F332" s="41" t="str">
        <f aca="false">IF($H332="","",IF(INDEX(Задачи!$F$1:$F$501,$H332)="","",INDEX(Задачи!$F$1:$F$501,$H332)))</f>
        <v/>
      </c>
      <c r="G332" s="40" t="str">
        <f aca="false">IF($H332="","",INDEX(Задачи!$I$1:$I$501,$H332)&amp;"")</f>
        <v/>
      </c>
      <c r="H332" s="20" t="str">
        <f aca="false">IFERROR(MOD(LARGE(Задачи!$P$2:$P$501,ROWS(H$5:H332)),1000),"")</f>
        <v/>
      </c>
    </row>
    <row r="333" customFormat="false" ht="30" hidden="false" customHeight="true" outlineLevel="0" collapsed="false">
      <c r="A333" s="39" t="str">
        <f aca="false">IF($H333="","",ROWS(A$5:A333))</f>
        <v/>
      </c>
      <c r="B333" s="40" t="str">
        <f aca="false">IF($H333="","",INDEX(Задачи!$A$1:$A$501,$H333)&amp;"")</f>
        <v/>
      </c>
      <c r="C333" s="40" t="str">
        <f aca="false">IF($H333="","",INDEX(Задачи!$B$1:$B$501,$H333)&amp;"")</f>
        <v/>
      </c>
      <c r="D333" s="39" t="str">
        <f aca="false">IF($H333="","",INDEX(Задачи!$C$1:$C$501,$H333)&amp;"")</f>
        <v/>
      </c>
      <c r="E333" s="41" t="str">
        <f aca="false">IF($H333="","",IF(INDEX(Задачи!$E$1:$E$501,$H333)="","",INDEX(Задачи!$E$1:$E$501,$H333)))</f>
        <v/>
      </c>
      <c r="F333" s="41" t="str">
        <f aca="false">IF($H333="","",IF(INDEX(Задачи!$F$1:$F$501,$H333)="","",INDEX(Задачи!$F$1:$F$501,$H333)))</f>
        <v/>
      </c>
      <c r="G333" s="40" t="str">
        <f aca="false">IF($H333="","",INDEX(Задачи!$I$1:$I$501,$H333)&amp;"")</f>
        <v/>
      </c>
      <c r="H333" s="20" t="str">
        <f aca="false">IFERROR(MOD(LARGE(Задачи!$P$2:$P$501,ROWS(H$5:H333)),1000),"")</f>
        <v/>
      </c>
    </row>
    <row r="334" customFormat="false" ht="30" hidden="false" customHeight="true" outlineLevel="0" collapsed="false">
      <c r="A334" s="39" t="str">
        <f aca="false">IF($H334="","",ROWS(A$5:A334))</f>
        <v/>
      </c>
      <c r="B334" s="40" t="str">
        <f aca="false">IF($H334="","",INDEX(Задачи!$A$1:$A$501,$H334)&amp;"")</f>
        <v/>
      </c>
      <c r="C334" s="40" t="str">
        <f aca="false">IF($H334="","",INDEX(Задачи!$B$1:$B$501,$H334)&amp;"")</f>
        <v/>
      </c>
      <c r="D334" s="39" t="str">
        <f aca="false">IF($H334="","",INDEX(Задачи!$C$1:$C$501,$H334)&amp;"")</f>
        <v/>
      </c>
      <c r="E334" s="41" t="str">
        <f aca="false">IF($H334="","",IF(INDEX(Задачи!$E$1:$E$501,$H334)="","",INDEX(Задачи!$E$1:$E$501,$H334)))</f>
        <v/>
      </c>
      <c r="F334" s="41" t="str">
        <f aca="false">IF($H334="","",IF(INDEX(Задачи!$F$1:$F$501,$H334)="","",INDEX(Задачи!$F$1:$F$501,$H334)))</f>
        <v/>
      </c>
      <c r="G334" s="40" t="str">
        <f aca="false">IF($H334="","",INDEX(Задачи!$I$1:$I$501,$H334)&amp;"")</f>
        <v/>
      </c>
      <c r="H334" s="20" t="str">
        <f aca="false">IFERROR(MOD(LARGE(Задачи!$P$2:$P$501,ROWS(H$5:H334)),1000),"")</f>
        <v/>
      </c>
    </row>
    <row r="335" customFormat="false" ht="30" hidden="false" customHeight="true" outlineLevel="0" collapsed="false">
      <c r="A335" s="39" t="str">
        <f aca="false">IF($H335="","",ROWS(A$5:A335))</f>
        <v/>
      </c>
      <c r="B335" s="40" t="str">
        <f aca="false">IF($H335="","",INDEX(Задачи!$A$1:$A$501,$H335)&amp;"")</f>
        <v/>
      </c>
      <c r="C335" s="40" t="str">
        <f aca="false">IF($H335="","",INDEX(Задачи!$B$1:$B$501,$H335)&amp;"")</f>
        <v/>
      </c>
      <c r="D335" s="39" t="str">
        <f aca="false">IF($H335="","",INDEX(Задачи!$C$1:$C$501,$H335)&amp;"")</f>
        <v/>
      </c>
      <c r="E335" s="41" t="str">
        <f aca="false">IF($H335="","",IF(INDEX(Задачи!$E$1:$E$501,$H335)="","",INDEX(Задачи!$E$1:$E$501,$H335)))</f>
        <v/>
      </c>
      <c r="F335" s="41" t="str">
        <f aca="false">IF($H335="","",IF(INDEX(Задачи!$F$1:$F$501,$H335)="","",INDEX(Задачи!$F$1:$F$501,$H335)))</f>
        <v/>
      </c>
      <c r="G335" s="40" t="str">
        <f aca="false">IF($H335="","",INDEX(Задачи!$I$1:$I$501,$H335)&amp;"")</f>
        <v/>
      </c>
      <c r="H335" s="20" t="str">
        <f aca="false">IFERROR(MOD(LARGE(Задачи!$P$2:$P$501,ROWS(H$5:H335)),1000),"")</f>
        <v/>
      </c>
    </row>
    <row r="336" customFormat="false" ht="30" hidden="false" customHeight="true" outlineLevel="0" collapsed="false">
      <c r="A336" s="39" t="str">
        <f aca="false">IF($H336="","",ROWS(A$5:A336))</f>
        <v/>
      </c>
      <c r="B336" s="40" t="str">
        <f aca="false">IF($H336="","",INDEX(Задачи!$A$1:$A$501,$H336)&amp;"")</f>
        <v/>
      </c>
      <c r="C336" s="40" t="str">
        <f aca="false">IF($H336="","",INDEX(Задачи!$B$1:$B$501,$H336)&amp;"")</f>
        <v/>
      </c>
      <c r="D336" s="39" t="str">
        <f aca="false">IF($H336="","",INDEX(Задачи!$C$1:$C$501,$H336)&amp;"")</f>
        <v/>
      </c>
      <c r="E336" s="41" t="str">
        <f aca="false">IF($H336="","",IF(INDEX(Задачи!$E$1:$E$501,$H336)="","",INDEX(Задачи!$E$1:$E$501,$H336)))</f>
        <v/>
      </c>
      <c r="F336" s="41" t="str">
        <f aca="false">IF($H336="","",IF(INDEX(Задачи!$F$1:$F$501,$H336)="","",INDEX(Задачи!$F$1:$F$501,$H336)))</f>
        <v/>
      </c>
      <c r="G336" s="40" t="str">
        <f aca="false">IF($H336="","",INDEX(Задачи!$I$1:$I$501,$H336)&amp;"")</f>
        <v/>
      </c>
      <c r="H336" s="20" t="str">
        <f aca="false">IFERROR(MOD(LARGE(Задачи!$P$2:$P$501,ROWS(H$5:H336)),1000),"")</f>
        <v/>
      </c>
    </row>
    <row r="337" customFormat="false" ht="30" hidden="false" customHeight="true" outlineLevel="0" collapsed="false">
      <c r="A337" s="39" t="str">
        <f aca="false">IF($H337="","",ROWS(A$5:A337))</f>
        <v/>
      </c>
      <c r="B337" s="40" t="str">
        <f aca="false">IF($H337="","",INDEX(Задачи!$A$1:$A$501,$H337)&amp;"")</f>
        <v/>
      </c>
      <c r="C337" s="40" t="str">
        <f aca="false">IF($H337="","",INDEX(Задачи!$B$1:$B$501,$H337)&amp;"")</f>
        <v/>
      </c>
      <c r="D337" s="39" t="str">
        <f aca="false">IF($H337="","",INDEX(Задачи!$C$1:$C$501,$H337)&amp;"")</f>
        <v/>
      </c>
      <c r="E337" s="41" t="str">
        <f aca="false">IF($H337="","",IF(INDEX(Задачи!$E$1:$E$501,$H337)="","",INDEX(Задачи!$E$1:$E$501,$H337)))</f>
        <v/>
      </c>
      <c r="F337" s="41" t="str">
        <f aca="false">IF($H337="","",IF(INDEX(Задачи!$F$1:$F$501,$H337)="","",INDEX(Задачи!$F$1:$F$501,$H337)))</f>
        <v/>
      </c>
      <c r="G337" s="40" t="str">
        <f aca="false">IF($H337="","",INDEX(Задачи!$I$1:$I$501,$H337)&amp;"")</f>
        <v/>
      </c>
      <c r="H337" s="20" t="str">
        <f aca="false">IFERROR(MOD(LARGE(Задачи!$P$2:$P$501,ROWS(H$5:H337)),1000),"")</f>
        <v/>
      </c>
    </row>
    <row r="338" customFormat="false" ht="30" hidden="false" customHeight="true" outlineLevel="0" collapsed="false">
      <c r="A338" s="39" t="str">
        <f aca="false">IF($H338="","",ROWS(A$5:A338))</f>
        <v/>
      </c>
      <c r="B338" s="40" t="str">
        <f aca="false">IF($H338="","",INDEX(Задачи!$A$1:$A$501,$H338)&amp;"")</f>
        <v/>
      </c>
      <c r="C338" s="40" t="str">
        <f aca="false">IF($H338="","",INDEX(Задачи!$B$1:$B$501,$H338)&amp;"")</f>
        <v/>
      </c>
      <c r="D338" s="39" t="str">
        <f aca="false">IF($H338="","",INDEX(Задачи!$C$1:$C$501,$H338)&amp;"")</f>
        <v/>
      </c>
      <c r="E338" s="41" t="str">
        <f aca="false">IF($H338="","",IF(INDEX(Задачи!$E$1:$E$501,$H338)="","",INDEX(Задачи!$E$1:$E$501,$H338)))</f>
        <v/>
      </c>
      <c r="F338" s="41" t="str">
        <f aca="false">IF($H338="","",IF(INDEX(Задачи!$F$1:$F$501,$H338)="","",INDEX(Задачи!$F$1:$F$501,$H338)))</f>
        <v/>
      </c>
      <c r="G338" s="40" t="str">
        <f aca="false">IF($H338="","",INDEX(Задачи!$I$1:$I$501,$H338)&amp;"")</f>
        <v/>
      </c>
      <c r="H338" s="20" t="str">
        <f aca="false">IFERROR(MOD(LARGE(Задачи!$P$2:$P$501,ROWS(H$5:H338)),1000),"")</f>
        <v/>
      </c>
    </row>
    <row r="339" customFormat="false" ht="30" hidden="false" customHeight="true" outlineLevel="0" collapsed="false">
      <c r="A339" s="39" t="str">
        <f aca="false">IF($H339="","",ROWS(A$5:A339))</f>
        <v/>
      </c>
      <c r="B339" s="40" t="str">
        <f aca="false">IF($H339="","",INDEX(Задачи!$A$1:$A$501,$H339)&amp;"")</f>
        <v/>
      </c>
      <c r="C339" s="40" t="str">
        <f aca="false">IF($H339="","",INDEX(Задачи!$B$1:$B$501,$H339)&amp;"")</f>
        <v/>
      </c>
      <c r="D339" s="39" t="str">
        <f aca="false">IF($H339="","",INDEX(Задачи!$C$1:$C$501,$H339)&amp;"")</f>
        <v/>
      </c>
      <c r="E339" s="41" t="str">
        <f aca="false">IF($H339="","",IF(INDEX(Задачи!$E$1:$E$501,$H339)="","",INDEX(Задачи!$E$1:$E$501,$H339)))</f>
        <v/>
      </c>
      <c r="F339" s="41" t="str">
        <f aca="false">IF($H339="","",IF(INDEX(Задачи!$F$1:$F$501,$H339)="","",INDEX(Задачи!$F$1:$F$501,$H339)))</f>
        <v/>
      </c>
      <c r="G339" s="40" t="str">
        <f aca="false">IF($H339="","",INDEX(Задачи!$I$1:$I$501,$H339)&amp;"")</f>
        <v/>
      </c>
      <c r="H339" s="20" t="str">
        <f aca="false">IFERROR(MOD(LARGE(Задачи!$P$2:$P$501,ROWS(H$5:H339)),1000),"")</f>
        <v/>
      </c>
    </row>
    <row r="340" customFormat="false" ht="30" hidden="false" customHeight="true" outlineLevel="0" collapsed="false">
      <c r="A340" s="39" t="str">
        <f aca="false">IF($H340="","",ROWS(A$5:A340))</f>
        <v/>
      </c>
      <c r="B340" s="40" t="str">
        <f aca="false">IF($H340="","",INDEX(Задачи!$A$1:$A$501,$H340)&amp;"")</f>
        <v/>
      </c>
      <c r="C340" s="40" t="str">
        <f aca="false">IF($H340="","",INDEX(Задачи!$B$1:$B$501,$H340)&amp;"")</f>
        <v/>
      </c>
      <c r="D340" s="39" t="str">
        <f aca="false">IF($H340="","",INDEX(Задачи!$C$1:$C$501,$H340)&amp;"")</f>
        <v/>
      </c>
      <c r="E340" s="41" t="str">
        <f aca="false">IF($H340="","",IF(INDEX(Задачи!$E$1:$E$501,$H340)="","",INDEX(Задачи!$E$1:$E$501,$H340)))</f>
        <v/>
      </c>
      <c r="F340" s="41" t="str">
        <f aca="false">IF($H340="","",IF(INDEX(Задачи!$F$1:$F$501,$H340)="","",INDEX(Задачи!$F$1:$F$501,$H340)))</f>
        <v/>
      </c>
      <c r="G340" s="40" t="str">
        <f aca="false">IF($H340="","",INDEX(Задачи!$I$1:$I$501,$H340)&amp;"")</f>
        <v/>
      </c>
      <c r="H340" s="20" t="str">
        <f aca="false">IFERROR(MOD(LARGE(Задачи!$P$2:$P$501,ROWS(H$5:H340)),1000),"")</f>
        <v/>
      </c>
    </row>
    <row r="341" customFormat="false" ht="30" hidden="false" customHeight="true" outlineLevel="0" collapsed="false">
      <c r="A341" s="39" t="str">
        <f aca="false">IF($H341="","",ROWS(A$5:A341))</f>
        <v/>
      </c>
      <c r="B341" s="40" t="str">
        <f aca="false">IF($H341="","",INDEX(Задачи!$A$1:$A$501,$H341)&amp;"")</f>
        <v/>
      </c>
      <c r="C341" s="40" t="str">
        <f aca="false">IF($H341="","",INDEX(Задачи!$B$1:$B$501,$H341)&amp;"")</f>
        <v/>
      </c>
      <c r="D341" s="39" t="str">
        <f aca="false">IF($H341="","",INDEX(Задачи!$C$1:$C$501,$H341)&amp;"")</f>
        <v/>
      </c>
      <c r="E341" s="41" t="str">
        <f aca="false">IF($H341="","",IF(INDEX(Задачи!$E$1:$E$501,$H341)="","",INDEX(Задачи!$E$1:$E$501,$H341)))</f>
        <v/>
      </c>
      <c r="F341" s="41" t="str">
        <f aca="false">IF($H341="","",IF(INDEX(Задачи!$F$1:$F$501,$H341)="","",INDEX(Задачи!$F$1:$F$501,$H341)))</f>
        <v/>
      </c>
      <c r="G341" s="40" t="str">
        <f aca="false">IF($H341="","",INDEX(Задачи!$I$1:$I$501,$H341)&amp;"")</f>
        <v/>
      </c>
      <c r="H341" s="20" t="str">
        <f aca="false">IFERROR(MOD(LARGE(Задачи!$P$2:$P$501,ROWS(H$5:H341)),1000),"")</f>
        <v/>
      </c>
    </row>
    <row r="342" customFormat="false" ht="30" hidden="false" customHeight="true" outlineLevel="0" collapsed="false">
      <c r="A342" s="39" t="str">
        <f aca="false">IF($H342="","",ROWS(A$5:A342))</f>
        <v/>
      </c>
      <c r="B342" s="40" t="str">
        <f aca="false">IF($H342="","",INDEX(Задачи!$A$1:$A$501,$H342)&amp;"")</f>
        <v/>
      </c>
      <c r="C342" s="40" t="str">
        <f aca="false">IF($H342="","",INDEX(Задачи!$B$1:$B$501,$H342)&amp;"")</f>
        <v/>
      </c>
      <c r="D342" s="39" t="str">
        <f aca="false">IF($H342="","",INDEX(Задачи!$C$1:$C$501,$H342)&amp;"")</f>
        <v/>
      </c>
      <c r="E342" s="41" t="str">
        <f aca="false">IF($H342="","",IF(INDEX(Задачи!$E$1:$E$501,$H342)="","",INDEX(Задачи!$E$1:$E$501,$H342)))</f>
        <v/>
      </c>
      <c r="F342" s="41" t="str">
        <f aca="false">IF($H342="","",IF(INDEX(Задачи!$F$1:$F$501,$H342)="","",INDEX(Задачи!$F$1:$F$501,$H342)))</f>
        <v/>
      </c>
      <c r="G342" s="40" t="str">
        <f aca="false">IF($H342="","",INDEX(Задачи!$I$1:$I$501,$H342)&amp;"")</f>
        <v/>
      </c>
      <c r="H342" s="20" t="str">
        <f aca="false">IFERROR(MOD(LARGE(Задачи!$P$2:$P$501,ROWS(H$5:H342)),1000),"")</f>
        <v/>
      </c>
    </row>
    <row r="343" customFormat="false" ht="30" hidden="false" customHeight="true" outlineLevel="0" collapsed="false">
      <c r="A343" s="39" t="str">
        <f aca="false">IF($H343="","",ROWS(A$5:A343))</f>
        <v/>
      </c>
      <c r="B343" s="40" t="str">
        <f aca="false">IF($H343="","",INDEX(Задачи!$A$1:$A$501,$H343)&amp;"")</f>
        <v/>
      </c>
      <c r="C343" s="40" t="str">
        <f aca="false">IF($H343="","",INDEX(Задачи!$B$1:$B$501,$H343)&amp;"")</f>
        <v/>
      </c>
      <c r="D343" s="39" t="str">
        <f aca="false">IF($H343="","",INDEX(Задачи!$C$1:$C$501,$H343)&amp;"")</f>
        <v/>
      </c>
      <c r="E343" s="41" t="str">
        <f aca="false">IF($H343="","",IF(INDEX(Задачи!$E$1:$E$501,$H343)="","",INDEX(Задачи!$E$1:$E$501,$H343)))</f>
        <v/>
      </c>
      <c r="F343" s="41" t="str">
        <f aca="false">IF($H343="","",IF(INDEX(Задачи!$F$1:$F$501,$H343)="","",INDEX(Задачи!$F$1:$F$501,$H343)))</f>
        <v/>
      </c>
      <c r="G343" s="40" t="str">
        <f aca="false">IF($H343="","",INDEX(Задачи!$I$1:$I$501,$H343)&amp;"")</f>
        <v/>
      </c>
      <c r="H343" s="20" t="str">
        <f aca="false">IFERROR(MOD(LARGE(Задачи!$P$2:$P$501,ROWS(H$5:H343)),1000),"")</f>
        <v/>
      </c>
    </row>
    <row r="344" customFormat="false" ht="30" hidden="false" customHeight="true" outlineLevel="0" collapsed="false">
      <c r="A344" s="39" t="str">
        <f aca="false">IF($H344="","",ROWS(A$5:A344))</f>
        <v/>
      </c>
      <c r="B344" s="40" t="str">
        <f aca="false">IF($H344="","",INDEX(Задачи!$A$1:$A$501,$H344)&amp;"")</f>
        <v/>
      </c>
      <c r="C344" s="40" t="str">
        <f aca="false">IF($H344="","",INDEX(Задачи!$B$1:$B$501,$H344)&amp;"")</f>
        <v/>
      </c>
      <c r="D344" s="39" t="str">
        <f aca="false">IF($H344="","",INDEX(Задачи!$C$1:$C$501,$H344)&amp;"")</f>
        <v/>
      </c>
      <c r="E344" s="41" t="str">
        <f aca="false">IF($H344="","",IF(INDEX(Задачи!$E$1:$E$501,$H344)="","",INDEX(Задачи!$E$1:$E$501,$H344)))</f>
        <v/>
      </c>
      <c r="F344" s="41" t="str">
        <f aca="false">IF($H344="","",IF(INDEX(Задачи!$F$1:$F$501,$H344)="","",INDEX(Задачи!$F$1:$F$501,$H344)))</f>
        <v/>
      </c>
      <c r="G344" s="40" t="str">
        <f aca="false">IF($H344="","",INDEX(Задачи!$I$1:$I$501,$H344)&amp;"")</f>
        <v/>
      </c>
      <c r="H344" s="20" t="str">
        <f aca="false">IFERROR(MOD(LARGE(Задачи!$P$2:$P$501,ROWS(H$5:H344)),1000),"")</f>
        <v/>
      </c>
    </row>
    <row r="345" customFormat="false" ht="30" hidden="false" customHeight="true" outlineLevel="0" collapsed="false">
      <c r="A345" s="39" t="str">
        <f aca="false">IF($H345="","",ROWS(A$5:A345))</f>
        <v/>
      </c>
      <c r="B345" s="40" t="str">
        <f aca="false">IF($H345="","",INDEX(Задачи!$A$1:$A$501,$H345)&amp;"")</f>
        <v/>
      </c>
      <c r="C345" s="40" t="str">
        <f aca="false">IF($H345="","",INDEX(Задачи!$B$1:$B$501,$H345)&amp;"")</f>
        <v/>
      </c>
      <c r="D345" s="39" t="str">
        <f aca="false">IF($H345="","",INDEX(Задачи!$C$1:$C$501,$H345)&amp;"")</f>
        <v/>
      </c>
      <c r="E345" s="41" t="str">
        <f aca="false">IF($H345="","",IF(INDEX(Задачи!$E$1:$E$501,$H345)="","",INDEX(Задачи!$E$1:$E$501,$H345)))</f>
        <v/>
      </c>
      <c r="F345" s="41" t="str">
        <f aca="false">IF($H345="","",IF(INDEX(Задачи!$F$1:$F$501,$H345)="","",INDEX(Задачи!$F$1:$F$501,$H345)))</f>
        <v/>
      </c>
      <c r="G345" s="40" t="str">
        <f aca="false">IF($H345="","",INDEX(Задачи!$I$1:$I$501,$H345)&amp;"")</f>
        <v/>
      </c>
      <c r="H345" s="20" t="str">
        <f aca="false">IFERROR(MOD(LARGE(Задачи!$P$2:$P$501,ROWS(H$5:H345)),1000),"")</f>
        <v/>
      </c>
    </row>
    <row r="346" customFormat="false" ht="30" hidden="false" customHeight="true" outlineLevel="0" collapsed="false">
      <c r="A346" s="39" t="str">
        <f aca="false">IF($H346="","",ROWS(A$5:A346))</f>
        <v/>
      </c>
      <c r="B346" s="40" t="str">
        <f aca="false">IF($H346="","",INDEX(Задачи!$A$1:$A$501,$H346)&amp;"")</f>
        <v/>
      </c>
      <c r="C346" s="40" t="str">
        <f aca="false">IF($H346="","",INDEX(Задачи!$B$1:$B$501,$H346)&amp;"")</f>
        <v/>
      </c>
      <c r="D346" s="39" t="str">
        <f aca="false">IF($H346="","",INDEX(Задачи!$C$1:$C$501,$H346)&amp;"")</f>
        <v/>
      </c>
      <c r="E346" s="41" t="str">
        <f aca="false">IF($H346="","",IF(INDEX(Задачи!$E$1:$E$501,$H346)="","",INDEX(Задачи!$E$1:$E$501,$H346)))</f>
        <v/>
      </c>
      <c r="F346" s="41" t="str">
        <f aca="false">IF($H346="","",IF(INDEX(Задачи!$F$1:$F$501,$H346)="","",INDEX(Задачи!$F$1:$F$501,$H346)))</f>
        <v/>
      </c>
      <c r="G346" s="40" t="str">
        <f aca="false">IF($H346="","",INDEX(Задачи!$I$1:$I$501,$H346)&amp;"")</f>
        <v/>
      </c>
      <c r="H346" s="20" t="str">
        <f aca="false">IFERROR(MOD(LARGE(Задачи!$P$2:$P$501,ROWS(H$5:H346)),1000),"")</f>
        <v/>
      </c>
    </row>
    <row r="347" customFormat="false" ht="30" hidden="false" customHeight="true" outlineLevel="0" collapsed="false">
      <c r="A347" s="39" t="str">
        <f aca="false">IF($H347="","",ROWS(A$5:A347))</f>
        <v/>
      </c>
      <c r="B347" s="40" t="str">
        <f aca="false">IF($H347="","",INDEX(Задачи!$A$1:$A$501,$H347)&amp;"")</f>
        <v/>
      </c>
      <c r="C347" s="40" t="str">
        <f aca="false">IF($H347="","",INDEX(Задачи!$B$1:$B$501,$H347)&amp;"")</f>
        <v/>
      </c>
      <c r="D347" s="39" t="str">
        <f aca="false">IF($H347="","",INDEX(Задачи!$C$1:$C$501,$H347)&amp;"")</f>
        <v/>
      </c>
      <c r="E347" s="41" t="str">
        <f aca="false">IF($H347="","",IF(INDEX(Задачи!$E$1:$E$501,$H347)="","",INDEX(Задачи!$E$1:$E$501,$H347)))</f>
        <v/>
      </c>
      <c r="F347" s="41" t="str">
        <f aca="false">IF($H347="","",IF(INDEX(Задачи!$F$1:$F$501,$H347)="","",INDEX(Задачи!$F$1:$F$501,$H347)))</f>
        <v/>
      </c>
      <c r="G347" s="40" t="str">
        <f aca="false">IF($H347="","",INDEX(Задачи!$I$1:$I$501,$H347)&amp;"")</f>
        <v/>
      </c>
      <c r="H347" s="20" t="str">
        <f aca="false">IFERROR(MOD(LARGE(Задачи!$P$2:$P$501,ROWS(H$5:H347)),1000),"")</f>
        <v/>
      </c>
    </row>
    <row r="348" customFormat="false" ht="30" hidden="false" customHeight="true" outlineLevel="0" collapsed="false">
      <c r="A348" s="39" t="str">
        <f aca="false">IF($H348="","",ROWS(A$5:A348))</f>
        <v/>
      </c>
      <c r="B348" s="40" t="str">
        <f aca="false">IF($H348="","",INDEX(Задачи!$A$1:$A$501,$H348)&amp;"")</f>
        <v/>
      </c>
      <c r="C348" s="40" t="str">
        <f aca="false">IF($H348="","",INDEX(Задачи!$B$1:$B$501,$H348)&amp;"")</f>
        <v/>
      </c>
      <c r="D348" s="39" t="str">
        <f aca="false">IF($H348="","",INDEX(Задачи!$C$1:$C$501,$H348)&amp;"")</f>
        <v/>
      </c>
      <c r="E348" s="41" t="str">
        <f aca="false">IF($H348="","",IF(INDEX(Задачи!$E$1:$E$501,$H348)="","",INDEX(Задачи!$E$1:$E$501,$H348)))</f>
        <v/>
      </c>
      <c r="F348" s="41" t="str">
        <f aca="false">IF($H348="","",IF(INDEX(Задачи!$F$1:$F$501,$H348)="","",INDEX(Задачи!$F$1:$F$501,$H348)))</f>
        <v/>
      </c>
      <c r="G348" s="40" t="str">
        <f aca="false">IF($H348="","",INDEX(Задачи!$I$1:$I$501,$H348)&amp;"")</f>
        <v/>
      </c>
      <c r="H348" s="20" t="str">
        <f aca="false">IFERROR(MOD(LARGE(Задачи!$P$2:$P$501,ROWS(H$5:H348)),1000),"")</f>
        <v/>
      </c>
    </row>
    <row r="349" customFormat="false" ht="30" hidden="false" customHeight="true" outlineLevel="0" collapsed="false">
      <c r="A349" s="39" t="str">
        <f aca="false">IF($H349="","",ROWS(A$5:A349))</f>
        <v/>
      </c>
      <c r="B349" s="40" t="str">
        <f aca="false">IF($H349="","",INDEX(Задачи!$A$1:$A$501,$H349)&amp;"")</f>
        <v/>
      </c>
      <c r="C349" s="40" t="str">
        <f aca="false">IF($H349="","",INDEX(Задачи!$B$1:$B$501,$H349)&amp;"")</f>
        <v/>
      </c>
      <c r="D349" s="39" t="str">
        <f aca="false">IF($H349="","",INDEX(Задачи!$C$1:$C$501,$H349)&amp;"")</f>
        <v/>
      </c>
      <c r="E349" s="41" t="str">
        <f aca="false">IF($H349="","",IF(INDEX(Задачи!$E$1:$E$501,$H349)="","",INDEX(Задачи!$E$1:$E$501,$H349)))</f>
        <v/>
      </c>
      <c r="F349" s="41" t="str">
        <f aca="false">IF($H349="","",IF(INDEX(Задачи!$F$1:$F$501,$H349)="","",INDEX(Задачи!$F$1:$F$501,$H349)))</f>
        <v/>
      </c>
      <c r="G349" s="40" t="str">
        <f aca="false">IF($H349="","",INDEX(Задачи!$I$1:$I$501,$H349)&amp;"")</f>
        <v/>
      </c>
      <c r="H349" s="20" t="str">
        <f aca="false">IFERROR(MOD(LARGE(Задачи!$P$2:$P$501,ROWS(H$5:H349)),1000),"")</f>
        <v/>
      </c>
    </row>
    <row r="350" customFormat="false" ht="30" hidden="false" customHeight="true" outlineLevel="0" collapsed="false">
      <c r="A350" s="39" t="str">
        <f aca="false">IF($H350="","",ROWS(A$5:A350))</f>
        <v/>
      </c>
      <c r="B350" s="40" t="str">
        <f aca="false">IF($H350="","",INDEX(Задачи!$A$1:$A$501,$H350)&amp;"")</f>
        <v/>
      </c>
      <c r="C350" s="40" t="str">
        <f aca="false">IF($H350="","",INDEX(Задачи!$B$1:$B$501,$H350)&amp;"")</f>
        <v/>
      </c>
      <c r="D350" s="39" t="str">
        <f aca="false">IF($H350="","",INDEX(Задачи!$C$1:$C$501,$H350)&amp;"")</f>
        <v/>
      </c>
      <c r="E350" s="41" t="str">
        <f aca="false">IF($H350="","",IF(INDEX(Задачи!$E$1:$E$501,$H350)="","",INDEX(Задачи!$E$1:$E$501,$H350)))</f>
        <v/>
      </c>
      <c r="F350" s="41" t="str">
        <f aca="false">IF($H350="","",IF(INDEX(Задачи!$F$1:$F$501,$H350)="","",INDEX(Задачи!$F$1:$F$501,$H350)))</f>
        <v/>
      </c>
      <c r="G350" s="40" t="str">
        <f aca="false">IF($H350="","",INDEX(Задачи!$I$1:$I$501,$H350)&amp;"")</f>
        <v/>
      </c>
      <c r="H350" s="20" t="str">
        <f aca="false">IFERROR(MOD(LARGE(Задачи!$P$2:$P$501,ROWS(H$5:H350)),1000),"")</f>
        <v/>
      </c>
    </row>
    <row r="351" customFormat="false" ht="30" hidden="false" customHeight="true" outlineLevel="0" collapsed="false">
      <c r="A351" s="39" t="str">
        <f aca="false">IF($H351="","",ROWS(A$5:A351))</f>
        <v/>
      </c>
      <c r="B351" s="40" t="str">
        <f aca="false">IF($H351="","",INDEX(Задачи!$A$1:$A$501,$H351)&amp;"")</f>
        <v/>
      </c>
      <c r="C351" s="40" t="str">
        <f aca="false">IF($H351="","",INDEX(Задачи!$B$1:$B$501,$H351)&amp;"")</f>
        <v/>
      </c>
      <c r="D351" s="39" t="str">
        <f aca="false">IF($H351="","",INDEX(Задачи!$C$1:$C$501,$H351)&amp;"")</f>
        <v/>
      </c>
      <c r="E351" s="41" t="str">
        <f aca="false">IF($H351="","",IF(INDEX(Задачи!$E$1:$E$501,$H351)="","",INDEX(Задачи!$E$1:$E$501,$H351)))</f>
        <v/>
      </c>
      <c r="F351" s="41" t="str">
        <f aca="false">IF($H351="","",IF(INDEX(Задачи!$F$1:$F$501,$H351)="","",INDEX(Задачи!$F$1:$F$501,$H351)))</f>
        <v/>
      </c>
      <c r="G351" s="40" t="str">
        <f aca="false">IF($H351="","",INDEX(Задачи!$I$1:$I$501,$H351)&amp;"")</f>
        <v/>
      </c>
      <c r="H351" s="20" t="str">
        <f aca="false">IFERROR(MOD(LARGE(Задачи!$P$2:$P$501,ROWS(H$5:H351)),1000),"")</f>
        <v/>
      </c>
    </row>
    <row r="352" customFormat="false" ht="30" hidden="false" customHeight="true" outlineLevel="0" collapsed="false">
      <c r="A352" s="39" t="str">
        <f aca="false">IF($H352="","",ROWS(A$5:A352))</f>
        <v/>
      </c>
      <c r="B352" s="40" t="str">
        <f aca="false">IF($H352="","",INDEX(Задачи!$A$1:$A$501,$H352)&amp;"")</f>
        <v/>
      </c>
      <c r="C352" s="40" t="str">
        <f aca="false">IF($H352="","",INDEX(Задачи!$B$1:$B$501,$H352)&amp;"")</f>
        <v/>
      </c>
      <c r="D352" s="39" t="str">
        <f aca="false">IF($H352="","",INDEX(Задачи!$C$1:$C$501,$H352)&amp;"")</f>
        <v/>
      </c>
      <c r="E352" s="41" t="str">
        <f aca="false">IF($H352="","",IF(INDEX(Задачи!$E$1:$E$501,$H352)="","",INDEX(Задачи!$E$1:$E$501,$H352)))</f>
        <v/>
      </c>
      <c r="F352" s="41" t="str">
        <f aca="false">IF($H352="","",IF(INDEX(Задачи!$F$1:$F$501,$H352)="","",INDEX(Задачи!$F$1:$F$501,$H352)))</f>
        <v/>
      </c>
      <c r="G352" s="40" t="str">
        <f aca="false">IF($H352="","",INDEX(Задачи!$I$1:$I$501,$H352)&amp;"")</f>
        <v/>
      </c>
      <c r="H352" s="20" t="str">
        <f aca="false">IFERROR(MOD(LARGE(Задачи!$P$2:$P$501,ROWS(H$5:H352)),1000),"")</f>
        <v/>
      </c>
    </row>
    <row r="353" customFormat="false" ht="30" hidden="false" customHeight="true" outlineLevel="0" collapsed="false">
      <c r="A353" s="39" t="str">
        <f aca="false">IF($H353="","",ROWS(A$5:A353))</f>
        <v/>
      </c>
      <c r="B353" s="40" t="str">
        <f aca="false">IF($H353="","",INDEX(Задачи!$A$1:$A$501,$H353)&amp;"")</f>
        <v/>
      </c>
      <c r="C353" s="40" t="str">
        <f aca="false">IF($H353="","",INDEX(Задачи!$B$1:$B$501,$H353)&amp;"")</f>
        <v/>
      </c>
      <c r="D353" s="39" t="str">
        <f aca="false">IF($H353="","",INDEX(Задачи!$C$1:$C$501,$H353)&amp;"")</f>
        <v/>
      </c>
      <c r="E353" s="41" t="str">
        <f aca="false">IF($H353="","",IF(INDEX(Задачи!$E$1:$E$501,$H353)="","",INDEX(Задачи!$E$1:$E$501,$H353)))</f>
        <v/>
      </c>
      <c r="F353" s="41" t="str">
        <f aca="false">IF($H353="","",IF(INDEX(Задачи!$F$1:$F$501,$H353)="","",INDEX(Задачи!$F$1:$F$501,$H353)))</f>
        <v/>
      </c>
      <c r="G353" s="40" t="str">
        <f aca="false">IF($H353="","",INDEX(Задачи!$I$1:$I$501,$H353)&amp;"")</f>
        <v/>
      </c>
      <c r="H353" s="20" t="str">
        <f aca="false">IFERROR(MOD(LARGE(Задачи!$P$2:$P$501,ROWS(H$5:H353)),1000),"")</f>
        <v/>
      </c>
    </row>
    <row r="354" customFormat="false" ht="30" hidden="false" customHeight="true" outlineLevel="0" collapsed="false">
      <c r="A354" s="39" t="str">
        <f aca="false">IF($H354="","",ROWS(A$5:A354))</f>
        <v/>
      </c>
      <c r="B354" s="40" t="str">
        <f aca="false">IF($H354="","",INDEX(Задачи!$A$1:$A$501,$H354)&amp;"")</f>
        <v/>
      </c>
      <c r="C354" s="40" t="str">
        <f aca="false">IF($H354="","",INDEX(Задачи!$B$1:$B$501,$H354)&amp;"")</f>
        <v/>
      </c>
      <c r="D354" s="39" t="str">
        <f aca="false">IF($H354="","",INDEX(Задачи!$C$1:$C$501,$H354)&amp;"")</f>
        <v/>
      </c>
      <c r="E354" s="41" t="str">
        <f aca="false">IF($H354="","",IF(INDEX(Задачи!$E$1:$E$501,$H354)="","",INDEX(Задачи!$E$1:$E$501,$H354)))</f>
        <v/>
      </c>
      <c r="F354" s="41" t="str">
        <f aca="false">IF($H354="","",IF(INDEX(Задачи!$F$1:$F$501,$H354)="","",INDEX(Задачи!$F$1:$F$501,$H354)))</f>
        <v/>
      </c>
      <c r="G354" s="40" t="str">
        <f aca="false">IF($H354="","",INDEX(Задачи!$I$1:$I$501,$H354)&amp;"")</f>
        <v/>
      </c>
      <c r="H354" s="20" t="str">
        <f aca="false">IFERROR(MOD(LARGE(Задачи!$P$2:$P$501,ROWS(H$5:H354)),1000),"")</f>
        <v/>
      </c>
    </row>
    <row r="355" customFormat="false" ht="30" hidden="false" customHeight="true" outlineLevel="0" collapsed="false">
      <c r="A355" s="39" t="str">
        <f aca="false">IF($H355="","",ROWS(A$5:A355))</f>
        <v/>
      </c>
      <c r="B355" s="40" t="str">
        <f aca="false">IF($H355="","",INDEX(Задачи!$A$1:$A$501,$H355)&amp;"")</f>
        <v/>
      </c>
      <c r="C355" s="40" t="str">
        <f aca="false">IF($H355="","",INDEX(Задачи!$B$1:$B$501,$H355)&amp;"")</f>
        <v/>
      </c>
      <c r="D355" s="39" t="str">
        <f aca="false">IF($H355="","",INDEX(Задачи!$C$1:$C$501,$H355)&amp;"")</f>
        <v/>
      </c>
      <c r="E355" s="41" t="str">
        <f aca="false">IF($H355="","",IF(INDEX(Задачи!$E$1:$E$501,$H355)="","",INDEX(Задачи!$E$1:$E$501,$H355)))</f>
        <v/>
      </c>
      <c r="F355" s="41" t="str">
        <f aca="false">IF($H355="","",IF(INDEX(Задачи!$F$1:$F$501,$H355)="","",INDEX(Задачи!$F$1:$F$501,$H355)))</f>
        <v/>
      </c>
      <c r="G355" s="40" t="str">
        <f aca="false">IF($H355="","",INDEX(Задачи!$I$1:$I$501,$H355)&amp;"")</f>
        <v/>
      </c>
      <c r="H355" s="20" t="str">
        <f aca="false">IFERROR(MOD(LARGE(Задачи!$P$2:$P$501,ROWS(H$5:H355)),1000),"")</f>
        <v/>
      </c>
    </row>
    <row r="356" customFormat="false" ht="30" hidden="false" customHeight="true" outlineLevel="0" collapsed="false">
      <c r="A356" s="39" t="str">
        <f aca="false">IF($H356="","",ROWS(A$5:A356))</f>
        <v/>
      </c>
      <c r="B356" s="40" t="str">
        <f aca="false">IF($H356="","",INDEX(Задачи!$A$1:$A$501,$H356)&amp;"")</f>
        <v/>
      </c>
      <c r="C356" s="40" t="str">
        <f aca="false">IF($H356="","",INDEX(Задачи!$B$1:$B$501,$H356)&amp;"")</f>
        <v/>
      </c>
      <c r="D356" s="39" t="str">
        <f aca="false">IF($H356="","",INDEX(Задачи!$C$1:$C$501,$H356)&amp;"")</f>
        <v/>
      </c>
      <c r="E356" s="41" t="str">
        <f aca="false">IF($H356="","",IF(INDEX(Задачи!$E$1:$E$501,$H356)="","",INDEX(Задачи!$E$1:$E$501,$H356)))</f>
        <v/>
      </c>
      <c r="F356" s="41" t="str">
        <f aca="false">IF($H356="","",IF(INDEX(Задачи!$F$1:$F$501,$H356)="","",INDEX(Задачи!$F$1:$F$501,$H356)))</f>
        <v/>
      </c>
      <c r="G356" s="40" t="str">
        <f aca="false">IF($H356="","",INDEX(Задачи!$I$1:$I$501,$H356)&amp;"")</f>
        <v/>
      </c>
      <c r="H356" s="20" t="str">
        <f aca="false">IFERROR(MOD(LARGE(Задачи!$P$2:$P$501,ROWS(H$5:H356)),1000),"")</f>
        <v/>
      </c>
    </row>
    <row r="357" customFormat="false" ht="30" hidden="false" customHeight="true" outlineLevel="0" collapsed="false">
      <c r="A357" s="39" t="str">
        <f aca="false">IF($H357="","",ROWS(A$5:A357))</f>
        <v/>
      </c>
      <c r="B357" s="40" t="str">
        <f aca="false">IF($H357="","",INDEX(Задачи!$A$1:$A$501,$H357)&amp;"")</f>
        <v/>
      </c>
      <c r="C357" s="40" t="str">
        <f aca="false">IF($H357="","",INDEX(Задачи!$B$1:$B$501,$H357)&amp;"")</f>
        <v/>
      </c>
      <c r="D357" s="39" t="str">
        <f aca="false">IF($H357="","",INDEX(Задачи!$C$1:$C$501,$H357)&amp;"")</f>
        <v/>
      </c>
      <c r="E357" s="41" t="str">
        <f aca="false">IF($H357="","",IF(INDEX(Задачи!$E$1:$E$501,$H357)="","",INDEX(Задачи!$E$1:$E$501,$H357)))</f>
        <v/>
      </c>
      <c r="F357" s="41" t="str">
        <f aca="false">IF($H357="","",IF(INDEX(Задачи!$F$1:$F$501,$H357)="","",INDEX(Задачи!$F$1:$F$501,$H357)))</f>
        <v/>
      </c>
      <c r="G357" s="40" t="str">
        <f aca="false">IF($H357="","",INDEX(Задачи!$I$1:$I$501,$H357)&amp;"")</f>
        <v/>
      </c>
      <c r="H357" s="20" t="str">
        <f aca="false">IFERROR(MOD(LARGE(Задачи!$P$2:$P$501,ROWS(H$5:H357)),1000),"")</f>
        <v/>
      </c>
    </row>
    <row r="358" customFormat="false" ht="30" hidden="false" customHeight="true" outlineLevel="0" collapsed="false">
      <c r="A358" s="39" t="str">
        <f aca="false">IF($H358="","",ROWS(A$5:A358))</f>
        <v/>
      </c>
      <c r="B358" s="40" t="str">
        <f aca="false">IF($H358="","",INDEX(Задачи!$A$1:$A$501,$H358)&amp;"")</f>
        <v/>
      </c>
      <c r="C358" s="40" t="str">
        <f aca="false">IF($H358="","",INDEX(Задачи!$B$1:$B$501,$H358)&amp;"")</f>
        <v/>
      </c>
      <c r="D358" s="39" t="str">
        <f aca="false">IF($H358="","",INDEX(Задачи!$C$1:$C$501,$H358)&amp;"")</f>
        <v/>
      </c>
      <c r="E358" s="41" t="str">
        <f aca="false">IF($H358="","",IF(INDEX(Задачи!$E$1:$E$501,$H358)="","",INDEX(Задачи!$E$1:$E$501,$H358)))</f>
        <v/>
      </c>
      <c r="F358" s="41" t="str">
        <f aca="false">IF($H358="","",IF(INDEX(Задачи!$F$1:$F$501,$H358)="","",INDEX(Задачи!$F$1:$F$501,$H358)))</f>
        <v/>
      </c>
      <c r="G358" s="40" t="str">
        <f aca="false">IF($H358="","",INDEX(Задачи!$I$1:$I$501,$H358)&amp;"")</f>
        <v/>
      </c>
      <c r="H358" s="20" t="str">
        <f aca="false">IFERROR(MOD(LARGE(Задачи!$P$2:$P$501,ROWS(H$5:H358)),1000),"")</f>
        <v/>
      </c>
    </row>
    <row r="359" customFormat="false" ht="30" hidden="false" customHeight="true" outlineLevel="0" collapsed="false">
      <c r="A359" s="39" t="str">
        <f aca="false">IF($H359="","",ROWS(A$5:A359))</f>
        <v/>
      </c>
      <c r="B359" s="40" t="str">
        <f aca="false">IF($H359="","",INDEX(Задачи!$A$1:$A$501,$H359)&amp;"")</f>
        <v/>
      </c>
      <c r="C359" s="40" t="str">
        <f aca="false">IF($H359="","",INDEX(Задачи!$B$1:$B$501,$H359)&amp;"")</f>
        <v/>
      </c>
      <c r="D359" s="39" t="str">
        <f aca="false">IF($H359="","",INDEX(Задачи!$C$1:$C$501,$H359)&amp;"")</f>
        <v/>
      </c>
      <c r="E359" s="41" t="str">
        <f aca="false">IF($H359="","",IF(INDEX(Задачи!$E$1:$E$501,$H359)="","",INDEX(Задачи!$E$1:$E$501,$H359)))</f>
        <v/>
      </c>
      <c r="F359" s="41" t="str">
        <f aca="false">IF($H359="","",IF(INDEX(Задачи!$F$1:$F$501,$H359)="","",INDEX(Задачи!$F$1:$F$501,$H359)))</f>
        <v/>
      </c>
      <c r="G359" s="40" t="str">
        <f aca="false">IF($H359="","",INDEX(Задачи!$I$1:$I$501,$H359)&amp;"")</f>
        <v/>
      </c>
      <c r="H359" s="20" t="str">
        <f aca="false">IFERROR(MOD(LARGE(Задачи!$P$2:$P$501,ROWS(H$5:H359)),1000),"")</f>
        <v/>
      </c>
    </row>
    <row r="360" customFormat="false" ht="30" hidden="false" customHeight="true" outlineLevel="0" collapsed="false">
      <c r="A360" s="39" t="str">
        <f aca="false">IF($H360="","",ROWS(A$5:A360))</f>
        <v/>
      </c>
      <c r="B360" s="40" t="str">
        <f aca="false">IF($H360="","",INDEX(Задачи!$A$1:$A$501,$H360)&amp;"")</f>
        <v/>
      </c>
      <c r="C360" s="40" t="str">
        <f aca="false">IF($H360="","",INDEX(Задачи!$B$1:$B$501,$H360)&amp;"")</f>
        <v/>
      </c>
      <c r="D360" s="39" t="str">
        <f aca="false">IF($H360="","",INDEX(Задачи!$C$1:$C$501,$H360)&amp;"")</f>
        <v/>
      </c>
      <c r="E360" s="41" t="str">
        <f aca="false">IF($H360="","",IF(INDEX(Задачи!$E$1:$E$501,$H360)="","",INDEX(Задачи!$E$1:$E$501,$H360)))</f>
        <v/>
      </c>
      <c r="F360" s="41" t="str">
        <f aca="false">IF($H360="","",IF(INDEX(Задачи!$F$1:$F$501,$H360)="","",INDEX(Задачи!$F$1:$F$501,$H360)))</f>
        <v/>
      </c>
      <c r="G360" s="40" t="str">
        <f aca="false">IF($H360="","",INDEX(Задачи!$I$1:$I$501,$H360)&amp;"")</f>
        <v/>
      </c>
      <c r="H360" s="20" t="str">
        <f aca="false">IFERROR(MOD(LARGE(Задачи!$P$2:$P$501,ROWS(H$5:H360)),1000),"")</f>
        <v/>
      </c>
    </row>
    <row r="361" customFormat="false" ht="30" hidden="false" customHeight="true" outlineLevel="0" collapsed="false">
      <c r="A361" s="39" t="str">
        <f aca="false">IF($H361="","",ROWS(A$5:A361))</f>
        <v/>
      </c>
      <c r="B361" s="40" t="str">
        <f aca="false">IF($H361="","",INDEX(Задачи!$A$1:$A$501,$H361)&amp;"")</f>
        <v/>
      </c>
      <c r="C361" s="40" t="str">
        <f aca="false">IF($H361="","",INDEX(Задачи!$B$1:$B$501,$H361)&amp;"")</f>
        <v/>
      </c>
      <c r="D361" s="39" t="str">
        <f aca="false">IF($H361="","",INDEX(Задачи!$C$1:$C$501,$H361)&amp;"")</f>
        <v/>
      </c>
      <c r="E361" s="41" t="str">
        <f aca="false">IF($H361="","",IF(INDEX(Задачи!$E$1:$E$501,$H361)="","",INDEX(Задачи!$E$1:$E$501,$H361)))</f>
        <v/>
      </c>
      <c r="F361" s="41" t="str">
        <f aca="false">IF($H361="","",IF(INDEX(Задачи!$F$1:$F$501,$H361)="","",INDEX(Задачи!$F$1:$F$501,$H361)))</f>
        <v/>
      </c>
      <c r="G361" s="40" t="str">
        <f aca="false">IF($H361="","",INDEX(Задачи!$I$1:$I$501,$H361)&amp;"")</f>
        <v/>
      </c>
      <c r="H361" s="20" t="str">
        <f aca="false">IFERROR(MOD(LARGE(Задачи!$P$2:$P$501,ROWS(H$5:H361)),1000),"")</f>
        <v/>
      </c>
    </row>
    <row r="362" customFormat="false" ht="30" hidden="false" customHeight="true" outlineLevel="0" collapsed="false">
      <c r="A362" s="39" t="str">
        <f aca="false">IF($H362="","",ROWS(A$5:A362))</f>
        <v/>
      </c>
      <c r="B362" s="40" t="str">
        <f aca="false">IF($H362="","",INDEX(Задачи!$A$1:$A$501,$H362)&amp;"")</f>
        <v/>
      </c>
      <c r="C362" s="40" t="str">
        <f aca="false">IF($H362="","",INDEX(Задачи!$B$1:$B$501,$H362)&amp;"")</f>
        <v/>
      </c>
      <c r="D362" s="39" t="str">
        <f aca="false">IF($H362="","",INDEX(Задачи!$C$1:$C$501,$H362)&amp;"")</f>
        <v/>
      </c>
      <c r="E362" s="41" t="str">
        <f aca="false">IF($H362="","",IF(INDEX(Задачи!$E$1:$E$501,$H362)="","",INDEX(Задачи!$E$1:$E$501,$H362)))</f>
        <v/>
      </c>
      <c r="F362" s="41" t="str">
        <f aca="false">IF($H362="","",IF(INDEX(Задачи!$F$1:$F$501,$H362)="","",INDEX(Задачи!$F$1:$F$501,$H362)))</f>
        <v/>
      </c>
      <c r="G362" s="40" t="str">
        <f aca="false">IF($H362="","",INDEX(Задачи!$I$1:$I$501,$H362)&amp;"")</f>
        <v/>
      </c>
      <c r="H362" s="20" t="str">
        <f aca="false">IFERROR(MOD(LARGE(Задачи!$P$2:$P$501,ROWS(H$5:H362)),1000),"")</f>
        <v/>
      </c>
    </row>
    <row r="363" customFormat="false" ht="30" hidden="false" customHeight="true" outlineLevel="0" collapsed="false">
      <c r="A363" s="39" t="str">
        <f aca="false">IF($H363="","",ROWS(A$5:A363))</f>
        <v/>
      </c>
      <c r="B363" s="40" t="str">
        <f aca="false">IF($H363="","",INDEX(Задачи!$A$1:$A$501,$H363)&amp;"")</f>
        <v/>
      </c>
      <c r="C363" s="40" t="str">
        <f aca="false">IF($H363="","",INDEX(Задачи!$B$1:$B$501,$H363)&amp;"")</f>
        <v/>
      </c>
      <c r="D363" s="39" t="str">
        <f aca="false">IF($H363="","",INDEX(Задачи!$C$1:$C$501,$H363)&amp;"")</f>
        <v/>
      </c>
      <c r="E363" s="41" t="str">
        <f aca="false">IF($H363="","",IF(INDEX(Задачи!$E$1:$E$501,$H363)="","",INDEX(Задачи!$E$1:$E$501,$H363)))</f>
        <v/>
      </c>
      <c r="F363" s="41" t="str">
        <f aca="false">IF($H363="","",IF(INDEX(Задачи!$F$1:$F$501,$H363)="","",INDEX(Задачи!$F$1:$F$501,$H363)))</f>
        <v/>
      </c>
      <c r="G363" s="40" t="str">
        <f aca="false">IF($H363="","",INDEX(Задачи!$I$1:$I$501,$H363)&amp;"")</f>
        <v/>
      </c>
      <c r="H363" s="20" t="str">
        <f aca="false">IFERROR(MOD(LARGE(Задачи!$P$2:$P$501,ROWS(H$5:H363)),1000),"")</f>
        <v/>
      </c>
    </row>
    <row r="364" customFormat="false" ht="30" hidden="false" customHeight="true" outlineLevel="0" collapsed="false">
      <c r="A364" s="39" t="str">
        <f aca="false">IF($H364="","",ROWS(A$5:A364))</f>
        <v/>
      </c>
      <c r="B364" s="40" t="str">
        <f aca="false">IF($H364="","",INDEX(Задачи!$A$1:$A$501,$H364)&amp;"")</f>
        <v/>
      </c>
      <c r="C364" s="40" t="str">
        <f aca="false">IF($H364="","",INDEX(Задачи!$B$1:$B$501,$H364)&amp;"")</f>
        <v/>
      </c>
      <c r="D364" s="39" t="str">
        <f aca="false">IF($H364="","",INDEX(Задачи!$C$1:$C$501,$H364)&amp;"")</f>
        <v/>
      </c>
      <c r="E364" s="41" t="str">
        <f aca="false">IF($H364="","",IF(INDEX(Задачи!$E$1:$E$501,$H364)="","",INDEX(Задачи!$E$1:$E$501,$H364)))</f>
        <v/>
      </c>
      <c r="F364" s="41" t="str">
        <f aca="false">IF($H364="","",IF(INDEX(Задачи!$F$1:$F$501,$H364)="","",INDEX(Задачи!$F$1:$F$501,$H364)))</f>
        <v/>
      </c>
      <c r="G364" s="40" t="str">
        <f aca="false">IF($H364="","",INDEX(Задачи!$I$1:$I$501,$H364)&amp;"")</f>
        <v/>
      </c>
      <c r="H364" s="20" t="str">
        <f aca="false">IFERROR(MOD(LARGE(Задачи!$P$2:$P$501,ROWS(H$5:H364)),1000),"")</f>
        <v/>
      </c>
    </row>
    <row r="365" customFormat="false" ht="30" hidden="false" customHeight="true" outlineLevel="0" collapsed="false">
      <c r="A365" s="39" t="str">
        <f aca="false">IF($H365="","",ROWS(A$5:A365))</f>
        <v/>
      </c>
      <c r="B365" s="40" t="str">
        <f aca="false">IF($H365="","",INDEX(Задачи!$A$1:$A$501,$H365)&amp;"")</f>
        <v/>
      </c>
      <c r="C365" s="40" t="str">
        <f aca="false">IF($H365="","",INDEX(Задачи!$B$1:$B$501,$H365)&amp;"")</f>
        <v/>
      </c>
      <c r="D365" s="39" t="str">
        <f aca="false">IF($H365="","",INDEX(Задачи!$C$1:$C$501,$H365)&amp;"")</f>
        <v/>
      </c>
      <c r="E365" s="41" t="str">
        <f aca="false">IF($H365="","",IF(INDEX(Задачи!$E$1:$E$501,$H365)="","",INDEX(Задачи!$E$1:$E$501,$H365)))</f>
        <v/>
      </c>
      <c r="F365" s="41" t="str">
        <f aca="false">IF($H365="","",IF(INDEX(Задачи!$F$1:$F$501,$H365)="","",INDEX(Задачи!$F$1:$F$501,$H365)))</f>
        <v/>
      </c>
      <c r="G365" s="40" t="str">
        <f aca="false">IF($H365="","",INDEX(Задачи!$I$1:$I$501,$H365)&amp;"")</f>
        <v/>
      </c>
      <c r="H365" s="20" t="str">
        <f aca="false">IFERROR(MOD(LARGE(Задачи!$P$2:$P$501,ROWS(H$5:H365)),1000),"")</f>
        <v/>
      </c>
    </row>
    <row r="366" customFormat="false" ht="30" hidden="false" customHeight="true" outlineLevel="0" collapsed="false">
      <c r="A366" s="39" t="str">
        <f aca="false">IF($H366="","",ROWS(A$5:A366))</f>
        <v/>
      </c>
      <c r="B366" s="40" t="str">
        <f aca="false">IF($H366="","",INDEX(Задачи!$A$1:$A$501,$H366)&amp;"")</f>
        <v/>
      </c>
      <c r="C366" s="40" t="str">
        <f aca="false">IF($H366="","",INDEX(Задачи!$B$1:$B$501,$H366)&amp;"")</f>
        <v/>
      </c>
      <c r="D366" s="39" t="str">
        <f aca="false">IF($H366="","",INDEX(Задачи!$C$1:$C$501,$H366)&amp;"")</f>
        <v/>
      </c>
      <c r="E366" s="41" t="str">
        <f aca="false">IF($H366="","",IF(INDEX(Задачи!$E$1:$E$501,$H366)="","",INDEX(Задачи!$E$1:$E$501,$H366)))</f>
        <v/>
      </c>
      <c r="F366" s="41" t="str">
        <f aca="false">IF($H366="","",IF(INDEX(Задачи!$F$1:$F$501,$H366)="","",INDEX(Задачи!$F$1:$F$501,$H366)))</f>
        <v/>
      </c>
      <c r="G366" s="40" t="str">
        <f aca="false">IF($H366="","",INDEX(Задачи!$I$1:$I$501,$H366)&amp;"")</f>
        <v/>
      </c>
      <c r="H366" s="20" t="str">
        <f aca="false">IFERROR(MOD(LARGE(Задачи!$P$2:$P$501,ROWS(H$5:H366)),1000),"")</f>
        <v/>
      </c>
    </row>
    <row r="367" customFormat="false" ht="30" hidden="false" customHeight="true" outlineLevel="0" collapsed="false">
      <c r="A367" s="39" t="str">
        <f aca="false">IF($H367="","",ROWS(A$5:A367))</f>
        <v/>
      </c>
      <c r="B367" s="40" t="str">
        <f aca="false">IF($H367="","",INDEX(Задачи!$A$1:$A$501,$H367)&amp;"")</f>
        <v/>
      </c>
      <c r="C367" s="40" t="str">
        <f aca="false">IF($H367="","",INDEX(Задачи!$B$1:$B$501,$H367)&amp;"")</f>
        <v/>
      </c>
      <c r="D367" s="39" t="str">
        <f aca="false">IF($H367="","",INDEX(Задачи!$C$1:$C$501,$H367)&amp;"")</f>
        <v/>
      </c>
      <c r="E367" s="41" t="str">
        <f aca="false">IF($H367="","",IF(INDEX(Задачи!$E$1:$E$501,$H367)="","",INDEX(Задачи!$E$1:$E$501,$H367)))</f>
        <v/>
      </c>
      <c r="F367" s="41" t="str">
        <f aca="false">IF($H367="","",IF(INDEX(Задачи!$F$1:$F$501,$H367)="","",INDEX(Задачи!$F$1:$F$501,$H367)))</f>
        <v/>
      </c>
      <c r="G367" s="40" t="str">
        <f aca="false">IF($H367="","",INDEX(Задачи!$I$1:$I$501,$H367)&amp;"")</f>
        <v/>
      </c>
      <c r="H367" s="20" t="str">
        <f aca="false">IFERROR(MOD(LARGE(Задачи!$P$2:$P$501,ROWS(H$5:H367)),1000),"")</f>
        <v/>
      </c>
    </row>
    <row r="368" customFormat="false" ht="30" hidden="false" customHeight="true" outlineLevel="0" collapsed="false">
      <c r="A368" s="39" t="str">
        <f aca="false">IF($H368="","",ROWS(A$5:A368))</f>
        <v/>
      </c>
      <c r="B368" s="40" t="str">
        <f aca="false">IF($H368="","",INDEX(Задачи!$A$1:$A$501,$H368)&amp;"")</f>
        <v/>
      </c>
      <c r="C368" s="40" t="str">
        <f aca="false">IF($H368="","",INDEX(Задачи!$B$1:$B$501,$H368)&amp;"")</f>
        <v/>
      </c>
      <c r="D368" s="39" t="str">
        <f aca="false">IF($H368="","",INDEX(Задачи!$C$1:$C$501,$H368)&amp;"")</f>
        <v/>
      </c>
      <c r="E368" s="41" t="str">
        <f aca="false">IF($H368="","",IF(INDEX(Задачи!$E$1:$E$501,$H368)="","",INDEX(Задачи!$E$1:$E$501,$H368)))</f>
        <v/>
      </c>
      <c r="F368" s="41" t="str">
        <f aca="false">IF($H368="","",IF(INDEX(Задачи!$F$1:$F$501,$H368)="","",INDEX(Задачи!$F$1:$F$501,$H368)))</f>
        <v/>
      </c>
      <c r="G368" s="40" t="str">
        <f aca="false">IF($H368="","",INDEX(Задачи!$I$1:$I$501,$H368)&amp;"")</f>
        <v/>
      </c>
      <c r="H368" s="20" t="str">
        <f aca="false">IFERROR(MOD(LARGE(Задачи!$P$2:$P$501,ROWS(H$5:H368)),1000),"")</f>
        <v/>
      </c>
    </row>
    <row r="369" customFormat="false" ht="30" hidden="false" customHeight="true" outlineLevel="0" collapsed="false">
      <c r="A369" s="39" t="str">
        <f aca="false">IF($H369="","",ROWS(A$5:A369))</f>
        <v/>
      </c>
      <c r="B369" s="40" t="str">
        <f aca="false">IF($H369="","",INDEX(Задачи!$A$1:$A$501,$H369)&amp;"")</f>
        <v/>
      </c>
      <c r="C369" s="40" t="str">
        <f aca="false">IF($H369="","",INDEX(Задачи!$B$1:$B$501,$H369)&amp;"")</f>
        <v/>
      </c>
      <c r="D369" s="39" t="str">
        <f aca="false">IF($H369="","",INDEX(Задачи!$C$1:$C$501,$H369)&amp;"")</f>
        <v/>
      </c>
      <c r="E369" s="41" t="str">
        <f aca="false">IF($H369="","",IF(INDEX(Задачи!$E$1:$E$501,$H369)="","",INDEX(Задачи!$E$1:$E$501,$H369)))</f>
        <v/>
      </c>
      <c r="F369" s="41" t="str">
        <f aca="false">IF($H369="","",IF(INDEX(Задачи!$F$1:$F$501,$H369)="","",INDEX(Задачи!$F$1:$F$501,$H369)))</f>
        <v/>
      </c>
      <c r="G369" s="40" t="str">
        <f aca="false">IF($H369="","",INDEX(Задачи!$I$1:$I$501,$H369)&amp;"")</f>
        <v/>
      </c>
      <c r="H369" s="20" t="str">
        <f aca="false">IFERROR(MOD(LARGE(Задачи!$P$2:$P$501,ROWS(H$5:H369)),1000),"")</f>
        <v/>
      </c>
    </row>
    <row r="370" customFormat="false" ht="30" hidden="false" customHeight="true" outlineLevel="0" collapsed="false">
      <c r="A370" s="39" t="str">
        <f aca="false">IF($H370="","",ROWS(A$5:A370))</f>
        <v/>
      </c>
      <c r="B370" s="40" t="str">
        <f aca="false">IF($H370="","",INDEX(Задачи!$A$1:$A$501,$H370)&amp;"")</f>
        <v/>
      </c>
      <c r="C370" s="40" t="str">
        <f aca="false">IF($H370="","",INDEX(Задачи!$B$1:$B$501,$H370)&amp;"")</f>
        <v/>
      </c>
      <c r="D370" s="39" t="str">
        <f aca="false">IF($H370="","",INDEX(Задачи!$C$1:$C$501,$H370)&amp;"")</f>
        <v/>
      </c>
      <c r="E370" s="41" t="str">
        <f aca="false">IF($H370="","",IF(INDEX(Задачи!$E$1:$E$501,$H370)="","",INDEX(Задачи!$E$1:$E$501,$H370)))</f>
        <v/>
      </c>
      <c r="F370" s="41" t="str">
        <f aca="false">IF($H370="","",IF(INDEX(Задачи!$F$1:$F$501,$H370)="","",INDEX(Задачи!$F$1:$F$501,$H370)))</f>
        <v/>
      </c>
      <c r="G370" s="40" t="str">
        <f aca="false">IF($H370="","",INDEX(Задачи!$I$1:$I$501,$H370)&amp;"")</f>
        <v/>
      </c>
      <c r="H370" s="20" t="str">
        <f aca="false">IFERROR(MOD(LARGE(Задачи!$P$2:$P$501,ROWS(H$5:H370)),1000),"")</f>
        <v/>
      </c>
    </row>
    <row r="371" customFormat="false" ht="30" hidden="false" customHeight="true" outlineLevel="0" collapsed="false">
      <c r="A371" s="39" t="str">
        <f aca="false">IF($H371="","",ROWS(A$5:A371))</f>
        <v/>
      </c>
      <c r="B371" s="40" t="str">
        <f aca="false">IF($H371="","",INDEX(Задачи!$A$1:$A$501,$H371)&amp;"")</f>
        <v/>
      </c>
      <c r="C371" s="40" t="str">
        <f aca="false">IF($H371="","",INDEX(Задачи!$B$1:$B$501,$H371)&amp;"")</f>
        <v/>
      </c>
      <c r="D371" s="39" t="str">
        <f aca="false">IF($H371="","",INDEX(Задачи!$C$1:$C$501,$H371)&amp;"")</f>
        <v/>
      </c>
      <c r="E371" s="41" t="str">
        <f aca="false">IF($H371="","",IF(INDEX(Задачи!$E$1:$E$501,$H371)="","",INDEX(Задачи!$E$1:$E$501,$H371)))</f>
        <v/>
      </c>
      <c r="F371" s="41" t="str">
        <f aca="false">IF($H371="","",IF(INDEX(Задачи!$F$1:$F$501,$H371)="","",INDEX(Задачи!$F$1:$F$501,$H371)))</f>
        <v/>
      </c>
      <c r="G371" s="40" t="str">
        <f aca="false">IF($H371="","",INDEX(Задачи!$I$1:$I$501,$H371)&amp;"")</f>
        <v/>
      </c>
      <c r="H371" s="20" t="str">
        <f aca="false">IFERROR(MOD(LARGE(Задачи!$P$2:$P$501,ROWS(H$5:H371)),1000),"")</f>
        <v/>
      </c>
    </row>
    <row r="372" customFormat="false" ht="30" hidden="false" customHeight="true" outlineLevel="0" collapsed="false">
      <c r="A372" s="39" t="str">
        <f aca="false">IF($H372="","",ROWS(A$5:A372))</f>
        <v/>
      </c>
      <c r="B372" s="40" t="str">
        <f aca="false">IF($H372="","",INDEX(Задачи!$A$1:$A$501,$H372)&amp;"")</f>
        <v/>
      </c>
      <c r="C372" s="40" t="str">
        <f aca="false">IF($H372="","",INDEX(Задачи!$B$1:$B$501,$H372)&amp;"")</f>
        <v/>
      </c>
      <c r="D372" s="39" t="str">
        <f aca="false">IF($H372="","",INDEX(Задачи!$C$1:$C$501,$H372)&amp;"")</f>
        <v/>
      </c>
      <c r="E372" s="41" t="str">
        <f aca="false">IF($H372="","",IF(INDEX(Задачи!$E$1:$E$501,$H372)="","",INDEX(Задачи!$E$1:$E$501,$H372)))</f>
        <v/>
      </c>
      <c r="F372" s="41" t="str">
        <f aca="false">IF($H372="","",IF(INDEX(Задачи!$F$1:$F$501,$H372)="","",INDEX(Задачи!$F$1:$F$501,$H372)))</f>
        <v/>
      </c>
      <c r="G372" s="40" t="str">
        <f aca="false">IF($H372="","",INDEX(Задачи!$I$1:$I$501,$H372)&amp;"")</f>
        <v/>
      </c>
      <c r="H372" s="20" t="str">
        <f aca="false">IFERROR(MOD(LARGE(Задачи!$P$2:$P$501,ROWS(H$5:H372)),1000),"")</f>
        <v/>
      </c>
    </row>
    <row r="373" customFormat="false" ht="30" hidden="false" customHeight="true" outlineLevel="0" collapsed="false">
      <c r="A373" s="39" t="str">
        <f aca="false">IF($H373="","",ROWS(A$5:A373))</f>
        <v/>
      </c>
      <c r="B373" s="40" t="str">
        <f aca="false">IF($H373="","",INDEX(Задачи!$A$1:$A$501,$H373)&amp;"")</f>
        <v/>
      </c>
      <c r="C373" s="40" t="str">
        <f aca="false">IF($H373="","",INDEX(Задачи!$B$1:$B$501,$H373)&amp;"")</f>
        <v/>
      </c>
      <c r="D373" s="39" t="str">
        <f aca="false">IF($H373="","",INDEX(Задачи!$C$1:$C$501,$H373)&amp;"")</f>
        <v/>
      </c>
      <c r="E373" s="41" t="str">
        <f aca="false">IF($H373="","",IF(INDEX(Задачи!$E$1:$E$501,$H373)="","",INDEX(Задачи!$E$1:$E$501,$H373)))</f>
        <v/>
      </c>
      <c r="F373" s="41" t="str">
        <f aca="false">IF($H373="","",IF(INDEX(Задачи!$F$1:$F$501,$H373)="","",INDEX(Задачи!$F$1:$F$501,$H373)))</f>
        <v/>
      </c>
      <c r="G373" s="40" t="str">
        <f aca="false">IF($H373="","",INDEX(Задачи!$I$1:$I$501,$H373)&amp;"")</f>
        <v/>
      </c>
      <c r="H373" s="20" t="str">
        <f aca="false">IFERROR(MOD(LARGE(Задачи!$P$2:$P$501,ROWS(H$5:H373)),1000),"")</f>
        <v/>
      </c>
    </row>
    <row r="374" customFormat="false" ht="30" hidden="false" customHeight="true" outlineLevel="0" collapsed="false">
      <c r="A374" s="39" t="str">
        <f aca="false">IF($H374="","",ROWS(A$5:A374))</f>
        <v/>
      </c>
      <c r="B374" s="40" t="str">
        <f aca="false">IF($H374="","",INDEX(Задачи!$A$1:$A$501,$H374)&amp;"")</f>
        <v/>
      </c>
      <c r="C374" s="40" t="str">
        <f aca="false">IF($H374="","",INDEX(Задачи!$B$1:$B$501,$H374)&amp;"")</f>
        <v/>
      </c>
      <c r="D374" s="39" t="str">
        <f aca="false">IF($H374="","",INDEX(Задачи!$C$1:$C$501,$H374)&amp;"")</f>
        <v/>
      </c>
      <c r="E374" s="41" t="str">
        <f aca="false">IF($H374="","",IF(INDEX(Задачи!$E$1:$E$501,$H374)="","",INDEX(Задачи!$E$1:$E$501,$H374)))</f>
        <v/>
      </c>
      <c r="F374" s="41" t="str">
        <f aca="false">IF($H374="","",IF(INDEX(Задачи!$F$1:$F$501,$H374)="","",INDEX(Задачи!$F$1:$F$501,$H374)))</f>
        <v/>
      </c>
      <c r="G374" s="40" t="str">
        <f aca="false">IF($H374="","",INDEX(Задачи!$I$1:$I$501,$H374)&amp;"")</f>
        <v/>
      </c>
      <c r="H374" s="20" t="str">
        <f aca="false">IFERROR(MOD(LARGE(Задачи!$P$2:$P$501,ROWS(H$5:H374)),1000),"")</f>
        <v/>
      </c>
    </row>
    <row r="375" customFormat="false" ht="30" hidden="false" customHeight="true" outlineLevel="0" collapsed="false">
      <c r="A375" s="39" t="str">
        <f aca="false">IF($H375="","",ROWS(A$5:A375))</f>
        <v/>
      </c>
      <c r="B375" s="40" t="str">
        <f aca="false">IF($H375="","",INDEX(Задачи!$A$1:$A$501,$H375)&amp;"")</f>
        <v/>
      </c>
      <c r="C375" s="40" t="str">
        <f aca="false">IF($H375="","",INDEX(Задачи!$B$1:$B$501,$H375)&amp;"")</f>
        <v/>
      </c>
      <c r="D375" s="39" t="str">
        <f aca="false">IF($H375="","",INDEX(Задачи!$C$1:$C$501,$H375)&amp;"")</f>
        <v/>
      </c>
      <c r="E375" s="41" t="str">
        <f aca="false">IF($H375="","",IF(INDEX(Задачи!$E$1:$E$501,$H375)="","",INDEX(Задачи!$E$1:$E$501,$H375)))</f>
        <v/>
      </c>
      <c r="F375" s="41" t="str">
        <f aca="false">IF($H375="","",IF(INDEX(Задачи!$F$1:$F$501,$H375)="","",INDEX(Задачи!$F$1:$F$501,$H375)))</f>
        <v/>
      </c>
      <c r="G375" s="40" t="str">
        <f aca="false">IF($H375="","",INDEX(Задачи!$I$1:$I$501,$H375)&amp;"")</f>
        <v/>
      </c>
      <c r="H375" s="20" t="str">
        <f aca="false">IFERROR(MOD(LARGE(Задачи!$P$2:$P$501,ROWS(H$5:H375)),1000),"")</f>
        <v/>
      </c>
    </row>
    <row r="376" customFormat="false" ht="30" hidden="false" customHeight="true" outlineLevel="0" collapsed="false">
      <c r="A376" s="39" t="str">
        <f aca="false">IF($H376="","",ROWS(A$5:A376))</f>
        <v/>
      </c>
      <c r="B376" s="40" t="str">
        <f aca="false">IF($H376="","",INDEX(Задачи!$A$1:$A$501,$H376)&amp;"")</f>
        <v/>
      </c>
      <c r="C376" s="40" t="str">
        <f aca="false">IF($H376="","",INDEX(Задачи!$B$1:$B$501,$H376)&amp;"")</f>
        <v/>
      </c>
      <c r="D376" s="39" t="str">
        <f aca="false">IF($H376="","",INDEX(Задачи!$C$1:$C$501,$H376)&amp;"")</f>
        <v/>
      </c>
      <c r="E376" s="41" t="str">
        <f aca="false">IF($H376="","",IF(INDEX(Задачи!$E$1:$E$501,$H376)="","",INDEX(Задачи!$E$1:$E$501,$H376)))</f>
        <v/>
      </c>
      <c r="F376" s="41" t="str">
        <f aca="false">IF($H376="","",IF(INDEX(Задачи!$F$1:$F$501,$H376)="","",INDEX(Задачи!$F$1:$F$501,$H376)))</f>
        <v/>
      </c>
      <c r="G376" s="40" t="str">
        <f aca="false">IF($H376="","",INDEX(Задачи!$I$1:$I$501,$H376)&amp;"")</f>
        <v/>
      </c>
      <c r="H376" s="20" t="str">
        <f aca="false">IFERROR(MOD(LARGE(Задачи!$P$2:$P$501,ROWS(H$5:H376)),1000),"")</f>
        <v/>
      </c>
    </row>
    <row r="377" customFormat="false" ht="30" hidden="false" customHeight="true" outlineLevel="0" collapsed="false">
      <c r="A377" s="39" t="str">
        <f aca="false">IF($H377="","",ROWS(A$5:A377))</f>
        <v/>
      </c>
      <c r="B377" s="40" t="str">
        <f aca="false">IF($H377="","",INDEX(Задачи!$A$1:$A$501,$H377)&amp;"")</f>
        <v/>
      </c>
      <c r="C377" s="40" t="str">
        <f aca="false">IF($H377="","",INDEX(Задачи!$B$1:$B$501,$H377)&amp;"")</f>
        <v/>
      </c>
      <c r="D377" s="39" t="str">
        <f aca="false">IF($H377="","",INDEX(Задачи!$C$1:$C$501,$H377)&amp;"")</f>
        <v/>
      </c>
      <c r="E377" s="41" t="str">
        <f aca="false">IF($H377="","",IF(INDEX(Задачи!$E$1:$E$501,$H377)="","",INDEX(Задачи!$E$1:$E$501,$H377)))</f>
        <v/>
      </c>
      <c r="F377" s="41" t="str">
        <f aca="false">IF($H377="","",IF(INDEX(Задачи!$F$1:$F$501,$H377)="","",INDEX(Задачи!$F$1:$F$501,$H377)))</f>
        <v/>
      </c>
      <c r="G377" s="40" t="str">
        <f aca="false">IF($H377="","",INDEX(Задачи!$I$1:$I$501,$H377)&amp;"")</f>
        <v/>
      </c>
      <c r="H377" s="20" t="str">
        <f aca="false">IFERROR(MOD(LARGE(Задачи!$P$2:$P$501,ROWS(H$5:H377)),1000),"")</f>
        <v/>
      </c>
    </row>
    <row r="378" customFormat="false" ht="30" hidden="false" customHeight="true" outlineLevel="0" collapsed="false">
      <c r="A378" s="39" t="str">
        <f aca="false">IF($H378="","",ROWS(A$5:A378))</f>
        <v/>
      </c>
      <c r="B378" s="40" t="str">
        <f aca="false">IF($H378="","",INDEX(Задачи!$A$1:$A$501,$H378)&amp;"")</f>
        <v/>
      </c>
      <c r="C378" s="40" t="str">
        <f aca="false">IF($H378="","",INDEX(Задачи!$B$1:$B$501,$H378)&amp;"")</f>
        <v/>
      </c>
      <c r="D378" s="39" t="str">
        <f aca="false">IF($H378="","",INDEX(Задачи!$C$1:$C$501,$H378)&amp;"")</f>
        <v/>
      </c>
      <c r="E378" s="41" t="str">
        <f aca="false">IF($H378="","",IF(INDEX(Задачи!$E$1:$E$501,$H378)="","",INDEX(Задачи!$E$1:$E$501,$H378)))</f>
        <v/>
      </c>
      <c r="F378" s="41" t="str">
        <f aca="false">IF($H378="","",IF(INDEX(Задачи!$F$1:$F$501,$H378)="","",INDEX(Задачи!$F$1:$F$501,$H378)))</f>
        <v/>
      </c>
      <c r="G378" s="40" t="str">
        <f aca="false">IF($H378="","",INDEX(Задачи!$I$1:$I$501,$H378)&amp;"")</f>
        <v/>
      </c>
      <c r="H378" s="20" t="str">
        <f aca="false">IFERROR(MOD(LARGE(Задачи!$P$2:$P$501,ROWS(H$5:H378)),1000),"")</f>
        <v/>
      </c>
    </row>
    <row r="379" customFormat="false" ht="30" hidden="false" customHeight="true" outlineLevel="0" collapsed="false">
      <c r="A379" s="39" t="str">
        <f aca="false">IF($H379="","",ROWS(A$5:A379))</f>
        <v/>
      </c>
      <c r="B379" s="40" t="str">
        <f aca="false">IF($H379="","",INDEX(Задачи!$A$1:$A$501,$H379)&amp;"")</f>
        <v/>
      </c>
      <c r="C379" s="40" t="str">
        <f aca="false">IF($H379="","",INDEX(Задачи!$B$1:$B$501,$H379)&amp;"")</f>
        <v/>
      </c>
      <c r="D379" s="39" t="str">
        <f aca="false">IF($H379="","",INDEX(Задачи!$C$1:$C$501,$H379)&amp;"")</f>
        <v/>
      </c>
      <c r="E379" s="41" t="str">
        <f aca="false">IF($H379="","",IF(INDEX(Задачи!$E$1:$E$501,$H379)="","",INDEX(Задачи!$E$1:$E$501,$H379)))</f>
        <v/>
      </c>
      <c r="F379" s="41" t="str">
        <f aca="false">IF($H379="","",IF(INDEX(Задачи!$F$1:$F$501,$H379)="","",INDEX(Задачи!$F$1:$F$501,$H379)))</f>
        <v/>
      </c>
      <c r="G379" s="40" t="str">
        <f aca="false">IF($H379="","",INDEX(Задачи!$I$1:$I$501,$H379)&amp;"")</f>
        <v/>
      </c>
      <c r="H379" s="20" t="str">
        <f aca="false">IFERROR(MOD(LARGE(Задачи!$P$2:$P$501,ROWS(H$5:H379)),1000),"")</f>
        <v/>
      </c>
    </row>
    <row r="380" customFormat="false" ht="30" hidden="false" customHeight="true" outlineLevel="0" collapsed="false">
      <c r="A380" s="39" t="str">
        <f aca="false">IF($H380="","",ROWS(A$5:A380))</f>
        <v/>
      </c>
      <c r="B380" s="40" t="str">
        <f aca="false">IF($H380="","",INDEX(Задачи!$A$1:$A$501,$H380)&amp;"")</f>
        <v/>
      </c>
      <c r="C380" s="40" t="str">
        <f aca="false">IF($H380="","",INDEX(Задачи!$B$1:$B$501,$H380)&amp;"")</f>
        <v/>
      </c>
      <c r="D380" s="39" t="str">
        <f aca="false">IF($H380="","",INDEX(Задачи!$C$1:$C$501,$H380)&amp;"")</f>
        <v/>
      </c>
      <c r="E380" s="41" t="str">
        <f aca="false">IF($H380="","",IF(INDEX(Задачи!$E$1:$E$501,$H380)="","",INDEX(Задачи!$E$1:$E$501,$H380)))</f>
        <v/>
      </c>
      <c r="F380" s="41" t="str">
        <f aca="false">IF($H380="","",IF(INDEX(Задачи!$F$1:$F$501,$H380)="","",INDEX(Задачи!$F$1:$F$501,$H380)))</f>
        <v/>
      </c>
      <c r="G380" s="40" t="str">
        <f aca="false">IF($H380="","",INDEX(Задачи!$I$1:$I$501,$H380)&amp;"")</f>
        <v/>
      </c>
      <c r="H380" s="20" t="str">
        <f aca="false">IFERROR(MOD(LARGE(Задачи!$P$2:$P$501,ROWS(H$5:H380)),1000),"")</f>
        <v/>
      </c>
    </row>
    <row r="381" customFormat="false" ht="30" hidden="false" customHeight="true" outlineLevel="0" collapsed="false">
      <c r="A381" s="39" t="str">
        <f aca="false">IF($H381="","",ROWS(A$5:A381))</f>
        <v/>
      </c>
      <c r="B381" s="40" t="str">
        <f aca="false">IF($H381="","",INDEX(Задачи!$A$1:$A$501,$H381)&amp;"")</f>
        <v/>
      </c>
      <c r="C381" s="40" t="str">
        <f aca="false">IF($H381="","",INDEX(Задачи!$B$1:$B$501,$H381)&amp;"")</f>
        <v/>
      </c>
      <c r="D381" s="39" t="str">
        <f aca="false">IF($H381="","",INDEX(Задачи!$C$1:$C$501,$H381)&amp;"")</f>
        <v/>
      </c>
      <c r="E381" s="41" t="str">
        <f aca="false">IF($H381="","",IF(INDEX(Задачи!$E$1:$E$501,$H381)="","",INDEX(Задачи!$E$1:$E$501,$H381)))</f>
        <v/>
      </c>
      <c r="F381" s="41" t="str">
        <f aca="false">IF($H381="","",IF(INDEX(Задачи!$F$1:$F$501,$H381)="","",INDEX(Задачи!$F$1:$F$501,$H381)))</f>
        <v/>
      </c>
      <c r="G381" s="40" t="str">
        <f aca="false">IF($H381="","",INDEX(Задачи!$I$1:$I$501,$H381)&amp;"")</f>
        <v/>
      </c>
      <c r="H381" s="20" t="str">
        <f aca="false">IFERROR(MOD(LARGE(Задачи!$P$2:$P$501,ROWS(H$5:H381)),1000),"")</f>
        <v/>
      </c>
    </row>
    <row r="382" customFormat="false" ht="30" hidden="false" customHeight="true" outlineLevel="0" collapsed="false">
      <c r="A382" s="39" t="str">
        <f aca="false">IF($H382="","",ROWS(A$5:A382))</f>
        <v/>
      </c>
      <c r="B382" s="40" t="str">
        <f aca="false">IF($H382="","",INDEX(Задачи!$A$1:$A$501,$H382)&amp;"")</f>
        <v/>
      </c>
      <c r="C382" s="40" t="str">
        <f aca="false">IF($H382="","",INDEX(Задачи!$B$1:$B$501,$H382)&amp;"")</f>
        <v/>
      </c>
      <c r="D382" s="39" t="str">
        <f aca="false">IF($H382="","",INDEX(Задачи!$C$1:$C$501,$H382)&amp;"")</f>
        <v/>
      </c>
      <c r="E382" s="41" t="str">
        <f aca="false">IF($H382="","",IF(INDEX(Задачи!$E$1:$E$501,$H382)="","",INDEX(Задачи!$E$1:$E$501,$H382)))</f>
        <v/>
      </c>
      <c r="F382" s="41" t="str">
        <f aca="false">IF($H382="","",IF(INDEX(Задачи!$F$1:$F$501,$H382)="","",INDEX(Задачи!$F$1:$F$501,$H382)))</f>
        <v/>
      </c>
      <c r="G382" s="40" t="str">
        <f aca="false">IF($H382="","",INDEX(Задачи!$I$1:$I$501,$H382)&amp;"")</f>
        <v/>
      </c>
      <c r="H382" s="20" t="str">
        <f aca="false">IFERROR(MOD(LARGE(Задачи!$P$2:$P$501,ROWS(H$5:H382)),1000),"")</f>
        <v/>
      </c>
    </row>
    <row r="383" customFormat="false" ht="30" hidden="false" customHeight="true" outlineLevel="0" collapsed="false">
      <c r="A383" s="39" t="str">
        <f aca="false">IF($H383="","",ROWS(A$5:A383))</f>
        <v/>
      </c>
      <c r="B383" s="40" t="str">
        <f aca="false">IF($H383="","",INDEX(Задачи!$A$1:$A$501,$H383)&amp;"")</f>
        <v/>
      </c>
      <c r="C383" s="40" t="str">
        <f aca="false">IF($H383="","",INDEX(Задачи!$B$1:$B$501,$H383)&amp;"")</f>
        <v/>
      </c>
      <c r="D383" s="39" t="str">
        <f aca="false">IF($H383="","",INDEX(Задачи!$C$1:$C$501,$H383)&amp;"")</f>
        <v/>
      </c>
      <c r="E383" s="41" t="str">
        <f aca="false">IF($H383="","",IF(INDEX(Задачи!$E$1:$E$501,$H383)="","",INDEX(Задачи!$E$1:$E$501,$H383)))</f>
        <v/>
      </c>
      <c r="F383" s="41" t="str">
        <f aca="false">IF($H383="","",IF(INDEX(Задачи!$F$1:$F$501,$H383)="","",INDEX(Задачи!$F$1:$F$501,$H383)))</f>
        <v/>
      </c>
      <c r="G383" s="40" t="str">
        <f aca="false">IF($H383="","",INDEX(Задачи!$I$1:$I$501,$H383)&amp;"")</f>
        <v/>
      </c>
      <c r="H383" s="20" t="str">
        <f aca="false">IFERROR(MOD(LARGE(Задачи!$P$2:$P$501,ROWS(H$5:H383)),1000),"")</f>
        <v/>
      </c>
    </row>
    <row r="384" customFormat="false" ht="30" hidden="false" customHeight="true" outlineLevel="0" collapsed="false">
      <c r="A384" s="39" t="str">
        <f aca="false">IF($H384="","",ROWS(A$5:A384))</f>
        <v/>
      </c>
      <c r="B384" s="40" t="str">
        <f aca="false">IF($H384="","",INDEX(Задачи!$A$1:$A$501,$H384)&amp;"")</f>
        <v/>
      </c>
      <c r="C384" s="40" t="str">
        <f aca="false">IF($H384="","",INDEX(Задачи!$B$1:$B$501,$H384)&amp;"")</f>
        <v/>
      </c>
      <c r="D384" s="39" t="str">
        <f aca="false">IF($H384="","",INDEX(Задачи!$C$1:$C$501,$H384)&amp;"")</f>
        <v/>
      </c>
      <c r="E384" s="41" t="str">
        <f aca="false">IF($H384="","",IF(INDEX(Задачи!$E$1:$E$501,$H384)="","",INDEX(Задачи!$E$1:$E$501,$H384)))</f>
        <v/>
      </c>
      <c r="F384" s="41" t="str">
        <f aca="false">IF($H384="","",IF(INDEX(Задачи!$F$1:$F$501,$H384)="","",INDEX(Задачи!$F$1:$F$501,$H384)))</f>
        <v/>
      </c>
      <c r="G384" s="40" t="str">
        <f aca="false">IF($H384="","",INDEX(Задачи!$I$1:$I$501,$H384)&amp;"")</f>
        <v/>
      </c>
      <c r="H384" s="20" t="str">
        <f aca="false">IFERROR(MOD(LARGE(Задачи!$P$2:$P$501,ROWS(H$5:H384)),1000),"")</f>
        <v/>
      </c>
    </row>
    <row r="385" customFormat="false" ht="30" hidden="false" customHeight="true" outlineLevel="0" collapsed="false">
      <c r="A385" s="39" t="str">
        <f aca="false">IF($H385="","",ROWS(A$5:A385))</f>
        <v/>
      </c>
      <c r="B385" s="40" t="str">
        <f aca="false">IF($H385="","",INDEX(Задачи!$A$1:$A$501,$H385)&amp;"")</f>
        <v/>
      </c>
      <c r="C385" s="40" t="str">
        <f aca="false">IF($H385="","",INDEX(Задачи!$B$1:$B$501,$H385)&amp;"")</f>
        <v/>
      </c>
      <c r="D385" s="39" t="str">
        <f aca="false">IF($H385="","",INDEX(Задачи!$C$1:$C$501,$H385)&amp;"")</f>
        <v/>
      </c>
      <c r="E385" s="41" t="str">
        <f aca="false">IF($H385="","",IF(INDEX(Задачи!$E$1:$E$501,$H385)="","",INDEX(Задачи!$E$1:$E$501,$H385)))</f>
        <v/>
      </c>
      <c r="F385" s="41" t="str">
        <f aca="false">IF($H385="","",IF(INDEX(Задачи!$F$1:$F$501,$H385)="","",INDEX(Задачи!$F$1:$F$501,$H385)))</f>
        <v/>
      </c>
      <c r="G385" s="40" t="str">
        <f aca="false">IF($H385="","",INDEX(Задачи!$I$1:$I$501,$H385)&amp;"")</f>
        <v/>
      </c>
      <c r="H385" s="20" t="str">
        <f aca="false">IFERROR(MOD(LARGE(Задачи!$P$2:$P$501,ROWS(H$5:H385)),1000),"")</f>
        <v/>
      </c>
    </row>
    <row r="386" customFormat="false" ht="30" hidden="false" customHeight="true" outlineLevel="0" collapsed="false">
      <c r="A386" s="39" t="str">
        <f aca="false">IF($H386="","",ROWS(A$5:A386))</f>
        <v/>
      </c>
      <c r="B386" s="40" t="str">
        <f aca="false">IF($H386="","",INDEX(Задачи!$A$1:$A$501,$H386)&amp;"")</f>
        <v/>
      </c>
      <c r="C386" s="40" t="str">
        <f aca="false">IF($H386="","",INDEX(Задачи!$B$1:$B$501,$H386)&amp;"")</f>
        <v/>
      </c>
      <c r="D386" s="39" t="str">
        <f aca="false">IF($H386="","",INDEX(Задачи!$C$1:$C$501,$H386)&amp;"")</f>
        <v/>
      </c>
      <c r="E386" s="41" t="str">
        <f aca="false">IF($H386="","",IF(INDEX(Задачи!$E$1:$E$501,$H386)="","",INDEX(Задачи!$E$1:$E$501,$H386)))</f>
        <v/>
      </c>
      <c r="F386" s="41" t="str">
        <f aca="false">IF($H386="","",IF(INDEX(Задачи!$F$1:$F$501,$H386)="","",INDEX(Задачи!$F$1:$F$501,$H386)))</f>
        <v/>
      </c>
      <c r="G386" s="40" t="str">
        <f aca="false">IF($H386="","",INDEX(Задачи!$I$1:$I$501,$H386)&amp;"")</f>
        <v/>
      </c>
      <c r="H386" s="20" t="str">
        <f aca="false">IFERROR(MOD(LARGE(Задачи!$P$2:$P$501,ROWS(H$5:H386)),1000),"")</f>
        <v/>
      </c>
    </row>
    <row r="387" customFormat="false" ht="30" hidden="false" customHeight="true" outlineLevel="0" collapsed="false">
      <c r="A387" s="39" t="str">
        <f aca="false">IF($H387="","",ROWS(A$5:A387))</f>
        <v/>
      </c>
      <c r="B387" s="40" t="str">
        <f aca="false">IF($H387="","",INDEX(Задачи!$A$1:$A$501,$H387)&amp;"")</f>
        <v/>
      </c>
      <c r="C387" s="40" t="str">
        <f aca="false">IF($H387="","",INDEX(Задачи!$B$1:$B$501,$H387)&amp;"")</f>
        <v/>
      </c>
      <c r="D387" s="39" t="str">
        <f aca="false">IF($H387="","",INDEX(Задачи!$C$1:$C$501,$H387)&amp;"")</f>
        <v/>
      </c>
      <c r="E387" s="41" t="str">
        <f aca="false">IF($H387="","",IF(INDEX(Задачи!$E$1:$E$501,$H387)="","",INDEX(Задачи!$E$1:$E$501,$H387)))</f>
        <v/>
      </c>
      <c r="F387" s="41" t="str">
        <f aca="false">IF($H387="","",IF(INDEX(Задачи!$F$1:$F$501,$H387)="","",INDEX(Задачи!$F$1:$F$501,$H387)))</f>
        <v/>
      </c>
      <c r="G387" s="40" t="str">
        <f aca="false">IF($H387="","",INDEX(Задачи!$I$1:$I$501,$H387)&amp;"")</f>
        <v/>
      </c>
      <c r="H387" s="20" t="str">
        <f aca="false">IFERROR(MOD(LARGE(Задачи!$P$2:$P$501,ROWS(H$5:H387)),1000),"")</f>
        <v/>
      </c>
    </row>
    <row r="388" customFormat="false" ht="30" hidden="false" customHeight="true" outlineLevel="0" collapsed="false">
      <c r="A388" s="39" t="str">
        <f aca="false">IF($H388="","",ROWS(A$5:A388))</f>
        <v/>
      </c>
      <c r="B388" s="40" t="str">
        <f aca="false">IF($H388="","",INDEX(Задачи!$A$1:$A$501,$H388)&amp;"")</f>
        <v/>
      </c>
      <c r="C388" s="40" t="str">
        <f aca="false">IF($H388="","",INDEX(Задачи!$B$1:$B$501,$H388)&amp;"")</f>
        <v/>
      </c>
      <c r="D388" s="39" t="str">
        <f aca="false">IF($H388="","",INDEX(Задачи!$C$1:$C$501,$H388)&amp;"")</f>
        <v/>
      </c>
      <c r="E388" s="41" t="str">
        <f aca="false">IF($H388="","",IF(INDEX(Задачи!$E$1:$E$501,$H388)="","",INDEX(Задачи!$E$1:$E$501,$H388)))</f>
        <v/>
      </c>
      <c r="F388" s="41" t="str">
        <f aca="false">IF($H388="","",IF(INDEX(Задачи!$F$1:$F$501,$H388)="","",INDEX(Задачи!$F$1:$F$501,$H388)))</f>
        <v/>
      </c>
      <c r="G388" s="40" t="str">
        <f aca="false">IF($H388="","",INDEX(Задачи!$I$1:$I$501,$H388)&amp;"")</f>
        <v/>
      </c>
      <c r="H388" s="20" t="str">
        <f aca="false">IFERROR(MOD(LARGE(Задачи!$P$2:$P$501,ROWS(H$5:H388)),1000),"")</f>
        <v/>
      </c>
    </row>
    <row r="389" customFormat="false" ht="30" hidden="false" customHeight="true" outlineLevel="0" collapsed="false">
      <c r="A389" s="39" t="str">
        <f aca="false">IF($H389="","",ROWS(A$5:A389))</f>
        <v/>
      </c>
      <c r="B389" s="40" t="str">
        <f aca="false">IF($H389="","",INDEX(Задачи!$A$1:$A$501,$H389)&amp;"")</f>
        <v/>
      </c>
      <c r="C389" s="40" t="str">
        <f aca="false">IF($H389="","",INDEX(Задачи!$B$1:$B$501,$H389)&amp;"")</f>
        <v/>
      </c>
      <c r="D389" s="39" t="str">
        <f aca="false">IF($H389="","",INDEX(Задачи!$C$1:$C$501,$H389)&amp;"")</f>
        <v/>
      </c>
      <c r="E389" s="41" t="str">
        <f aca="false">IF($H389="","",IF(INDEX(Задачи!$E$1:$E$501,$H389)="","",INDEX(Задачи!$E$1:$E$501,$H389)))</f>
        <v/>
      </c>
      <c r="F389" s="41" t="str">
        <f aca="false">IF($H389="","",IF(INDEX(Задачи!$F$1:$F$501,$H389)="","",INDEX(Задачи!$F$1:$F$501,$H389)))</f>
        <v/>
      </c>
      <c r="G389" s="40" t="str">
        <f aca="false">IF($H389="","",INDEX(Задачи!$I$1:$I$501,$H389)&amp;"")</f>
        <v/>
      </c>
      <c r="H389" s="20" t="str">
        <f aca="false">IFERROR(MOD(LARGE(Задачи!$P$2:$P$501,ROWS(H$5:H389)),1000),"")</f>
        <v/>
      </c>
    </row>
    <row r="390" customFormat="false" ht="30" hidden="false" customHeight="true" outlineLevel="0" collapsed="false">
      <c r="A390" s="39" t="str">
        <f aca="false">IF($H390="","",ROWS(A$5:A390))</f>
        <v/>
      </c>
      <c r="B390" s="40" t="str">
        <f aca="false">IF($H390="","",INDEX(Задачи!$A$1:$A$501,$H390)&amp;"")</f>
        <v/>
      </c>
      <c r="C390" s="40" t="str">
        <f aca="false">IF($H390="","",INDEX(Задачи!$B$1:$B$501,$H390)&amp;"")</f>
        <v/>
      </c>
      <c r="D390" s="39" t="str">
        <f aca="false">IF($H390="","",INDEX(Задачи!$C$1:$C$501,$H390)&amp;"")</f>
        <v/>
      </c>
      <c r="E390" s="41" t="str">
        <f aca="false">IF($H390="","",IF(INDEX(Задачи!$E$1:$E$501,$H390)="","",INDEX(Задачи!$E$1:$E$501,$H390)))</f>
        <v/>
      </c>
      <c r="F390" s="41" t="str">
        <f aca="false">IF($H390="","",IF(INDEX(Задачи!$F$1:$F$501,$H390)="","",INDEX(Задачи!$F$1:$F$501,$H390)))</f>
        <v/>
      </c>
      <c r="G390" s="40" t="str">
        <f aca="false">IF($H390="","",INDEX(Задачи!$I$1:$I$501,$H390)&amp;"")</f>
        <v/>
      </c>
      <c r="H390" s="20" t="str">
        <f aca="false">IFERROR(MOD(LARGE(Задачи!$P$2:$P$501,ROWS(H$5:H390)),1000),"")</f>
        <v/>
      </c>
    </row>
    <row r="391" customFormat="false" ht="30" hidden="false" customHeight="true" outlineLevel="0" collapsed="false">
      <c r="A391" s="39" t="str">
        <f aca="false">IF($H391="","",ROWS(A$5:A391))</f>
        <v/>
      </c>
      <c r="B391" s="40" t="str">
        <f aca="false">IF($H391="","",INDEX(Задачи!$A$1:$A$501,$H391)&amp;"")</f>
        <v/>
      </c>
      <c r="C391" s="40" t="str">
        <f aca="false">IF($H391="","",INDEX(Задачи!$B$1:$B$501,$H391)&amp;"")</f>
        <v/>
      </c>
      <c r="D391" s="39" t="str">
        <f aca="false">IF($H391="","",INDEX(Задачи!$C$1:$C$501,$H391)&amp;"")</f>
        <v/>
      </c>
      <c r="E391" s="41" t="str">
        <f aca="false">IF($H391="","",IF(INDEX(Задачи!$E$1:$E$501,$H391)="","",INDEX(Задачи!$E$1:$E$501,$H391)))</f>
        <v/>
      </c>
      <c r="F391" s="41" t="str">
        <f aca="false">IF($H391="","",IF(INDEX(Задачи!$F$1:$F$501,$H391)="","",INDEX(Задачи!$F$1:$F$501,$H391)))</f>
        <v/>
      </c>
      <c r="G391" s="40" t="str">
        <f aca="false">IF($H391="","",INDEX(Задачи!$I$1:$I$501,$H391)&amp;"")</f>
        <v/>
      </c>
      <c r="H391" s="20" t="str">
        <f aca="false">IFERROR(MOD(LARGE(Задачи!$P$2:$P$501,ROWS(H$5:H391)),1000),"")</f>
        <v/>
      </c>
    </row>
    <row r="392" customFormat="false" ht="30" hidden="false" customHeight="true" outlineLevel="0" collapsed="false">
      <c r="A392" s="39" t="str">
        <f aca="false">IF($H392="","",ROWS(A$5:A392))</f>
        <v/>
      </c>
      <c r="B392" s="40" t="str">
        <f aca="false">IF($H392="","",INDEX(Задачи!$A$1:$A$501,$H392)&amp;"")</f>
        <v/>
      </c>
      <c r="C392" s="40" t="str">
        <f aca="false">IF($H392="","",INDEX(Задачи!$B$1:$B$501,$H392)&amp;"")</f>
        <v/>
      </c>
      <c r="D392" s="39" t="str">
        <f aca="false">IF($H392="","",INDEX(Задачи!$C$1:$C$501,$H392)&amp;"")</f>
        <v/>
      </c>
      <c r="E392" s="41" t="str">
        <f aca="false">IF($H392="","",IF(INDEX(Задачи!$E$1:$E$501,$H392)="","",INDEX(Задачи!$E$1:$E$501,$H392)))</f>
        <v/>
      </c>
      <c r="F392" s="41" t="str">
        <f aca="false">IF($H392="","",IF(INDEX(Задачи!$F$1:$F$501,$H392)="","",INDEX(Задачи!$F$1:$F$501,$H392)))</f>
        <v/>
      </c>
      <c r="G392" s="40" t="str">
        <f aca="false">IF($H392="","",INDEX(Задачи!$I$1:$I$501,$H392)&amp;"")</f>
        <v/>
      </c>
      <c r="H392" s="20" t="str">
        <f aca="false">IFERROR(MOD(LARGE(Задачи!$P$2:$P$501,ROWS(H$5:H392)),1000),"")</f>
        <v/>
      </c>
    </row>
    <row r="393" customFormat="false" ht="30" hidden="false" customHeight="true" outlineLevel="0" collapsed="false">
      <c r="A393" s="39" t="str">
        <f aca="false">IF($H393="","",ROWS(A$5:A393))</f>
        <v/>
      </c>
      <c r="B393" s="40" t="str">
        <f aca="false">IF($H393="","",INDEX(Задачи!$A$1:$A$501,$H393)&amp;"")</f>
        <v/>
      </c>
      <c r="C393" s="40" t="str">
        <f aca="false">IF($H393="","",INDEX(Задачи!$B$1:$B$501,$H393)&amp;"")</f>
        <v/>
      </c>
      <c r="D393" s="39" t="str">
        <f aca="false">IF($H393="","",INDEX(Задачи!$C$1:$C$501,$H393)&amp;"")</f>
        <v/>
      </c>
      <c r="E393" s="41" t="str">
        <f aca="false">IF($H393="","",IF(INDEX(Задачи!$E$1:$E$501,$H393)="","",INDEX(Задачи!$E$1:$E$501,$H393)))</f>
        <v/>
      </c>
      <c r="F393" s="41" t="str">
        <f aca="false">IF($H393="","",IF(INDEX(Задачи!$F$1:$F$501,$H393)="","",INDEX(Задачи!$F$1:$F$501,$H393)))</f>
        <v/>
      </c>
      <c r="G393" s="40" t="str">
        <f aca="false">IF($H393="","",INDEX(Задачи!$I$1:$I$501,$H393)&amp;"")</f>
        <v/>
      </c>
      <c r="H393" s="20" t="str">
        <f aca="false">IFERROR(MOD(LARGE(Задачи!$P$2:$P$501,ROWS(H$5:H393)),1000),"")</f>
        <v/>
      </c>
    </row>
    <row r="394" customFormat="false" ht="30" hidden="false" customHeight="true" outlineLevel="0" collapsed="false">
      <c r="A394" s="39" t="str">
        <f aca="false">IF($H394="","",ROWS(A$5:A394))</f>
        <v/>
      </c>
      <c r="B394" s="40" t="str">
        <f aca="false">IF($H394="","",INDEX(Задачи!$A$1:$A$501,$H394)&amp;"")</f>
        <v/>
      </c>
      <c r="C394" s="40" t="str">
        <f aca="false">IF($H394="","",INDEX(Задачи!$B$1:$B$501,$H394)&amp;"")</f>
        <v/>
      </c>
      <c r="D394" s="39" t="str">
        <f aca="false">IF($H394="","",INDEX(Задачи!$C$1:$C$501,$H394)&amp;"")</f>
        <v/>
      </c>
      <c r="E394" s="41" t="str">
        <f aca="false">IF($H394="","",IF(INDEX(Задачи!$E$1:$E$501,$H394)="","",INDEX(Задачи!$E$1:$E$501,$H394)))</f>
        <v/>
      </c>
      <c r="F394" s="41" t="str">
        <f aca="false">IF($H394="","",IF(INDEX(Задачи!$F$1:$F$501,$H394)="","",INDEX(Задачи!$F$1:$F$501,$H394)))</f>
        <v/>
      </c>
      <c r="G394" s="40" t="str">
        <f aca="false">IF($H394="","",INDEX(Задачи!$I$1:$I$501,$H394)&amp;"")</f>
        <v/>
      </c>
      <c r="H394" s="20" t="str">
        <f aca="false">IFERROR(MOD(LARGE(Задачи!$P$2:$P$501,ROWS(H$5:H394)),1000),"")</f>
        <v/>
      </c>
    </row>
    <row r="395" customFormat="false" ht="30" hidden="false" customHeight="true" outlineLevel="0" collapsed="false">
      <c r="A395" s="39" t="str">
        <f aca="false">IF($H395="","",ROWS(A$5:A395))</f>
        <v/>
      </c>
      <c r="B395" s="40" t="str">
        <f aca="false">IF($H395="","",INDEX(Задачи!$A$1:$A$501,$H395)&amp;"")</f>
        <v/>
      </c>
      <c r="C395" s="40" t="str">
        <f aca="false">IF($H395="","",INDEX(Задачи!$B$1:$B$501,$H395)&amp;"")</f>
        <v/>
      </c>
      <c r="D395" s="39" t="str">
        <f aca="false">IF($H395="","",INDEX(Задачи!$C$1:$C$501,$H395)&amp;"")</f>
        <v/>
      </c>
      <c r="E395" s="41" t="str">
        <f aca="false">IF($H395="","",IF(INDEX(Задачи!$E$1:$E$501,$H395)="","",INDEX(Задачи!$E$1:$E$501,$H395)))</f>
        <v/>
      </c>
      <c r="F395" s="41" t="str">
        <f aca="false">IF($H395="","",IF(INDEX(Задачи!$F$1:$F$501,$H395)="","",INDEX(Задачи!$F$1:$F$501,$H395)))</f>
        <v/>
      </c>
      <c r="G395" s="40" t="str">
        <f aca="false">IF($H395="","",INDEX(Задачи!$I$1:$I$501,$H395)&amp;"")</f>
        <v/>
      </c>
      <c r="H395" s="20" t="str">
        <f aca="false">IFERROR(MOD(LARGE(Задачи!$P$2:$P$501,ROWS(H$5:H395)),1000),"")</f>
        <v/>
      </c>
    </row>
    <row r="396" customFormat="false" ht="30" hidden="false" customHeight="true" outlineLevel="0" collapsed="false">
      <c r="A396" s="39" t="str">
        <f aca="false">IF($H396="","",ROWS(A$5:A396))</f>
        <v/>
      </c>
      <c r="B396" s="40" t="str">
        <f aca="false">IF($H396="","",INDEX(Задачи!$A$1:$A$501,$H396)&amp;"")</f>
        <v/>
      </c>
      <c r="C396" s="40" t="str">
        <f aca="false">IF($H396="","",INDEX(Задачи!$B$1:$B$501,$H396)&amp;"")</f>
        <v/>
      </c>
      <c r="D396" s="39" t="str">
        <f aca="false">IF($H396="","",INDEX(Задачи!$C$1:$C$501,$H396)&amp;"")</f>
        <v/>
      </c>
      <c r="E396" s="41" t="str">
        <f aca="false">IF($H396="","",IF(INDEX(Задачи!$E$1:$E$501,$H396)="","",INDEX(Задачи!$E$1:$E$501,$H396)))</f>
        <v/>
      </c>
      <c r="F396" s="41" t="str">
        <f aca="false">IF($H396="","",IF(INDEX(Задачи!$F$1:$F$501,$H396)="","",INDEX(Задачи!$F$1:$F$501,$H396)))</f>
        <v/>
      </c>
      <c r="G396" s="40" t="str">
        <f aca="false">IF($H396="","",INDEX(Задачи!$I$1:$I$501,$H396)&amp;"")</f>
        <v/>
      </c>
      <c r="H396" s="20" t="str">
        <f aca="false">IFERROR(MOD(LARGE(Задачи!$P$2:$P$501,ROWS(H$5:H396)),1000),"")</f>
        <v/>
      </c>
    </row>
    <row r="397" customFormat="false" ht="30" hidden="false" customHeight="true" outlineLevel="0" collapsed="false">
      <c r="A397" s="39" t="str">
        <f aca="false">IF($H397="","",ROWS(A$5:A397))</f>
        <v/>
      </c>
      <c r="B397" s="40" t="str">
        <f aca="false">IF($H397="","",INDEX(Задачи!$A$1:$A$501,$H397)&amp;"")</f>
        <v/>
      </c>
      <c r="C397" s="40" t="str">
        <f aca="false">IF($H397="","",INDEX(Задачи!$B$1:$B$501,$H397)&amp;"")</f>
        <v/>
      </c>
      <c r="D397" s="39" t="str">
        <f aca="false">IF($H397="","",INDEX(Задачи!$C$1:$C$501,$H397)&amp;"")</f>
        <v/>
      </c>
      <c r="E397" s="41" t="str">
        <f aca="false">IF($H397="","",IF(INDEX(Задачи!$E$1:$E$501,$H397)="","",INDEX(Задачи!$E$1:$E$501,$H397)))</f>
        <v/>
      </c>
      <c r="F397" s="41" t="str">
        <f aca="false">IF($H397="","",IF(INDEX(Задачи!$F$1:$F$501,$H397)="","",INDEX(Задачи!$F$1:$F$501,$H397)))</f>
        <v/>
      </c>
      <c r="G397" s="40" t="str">
        <f aca="false">IF($H397="","",INDEX(Задачи!$I$1:$I$501,$H397)&amp;"")</f>
        <v/>
      </c>
      <c r="H397" s="20" t="str">
        <f aca="false">IFERROR(MOD(LARGE(Задачи!$P$2:$P$501,ROWS(H$5:H397)),1000),"")</f>
        <v/>
      </c>
    </row>
    <row r="398" customFormat="false" ht="30" hidden="false" customHeight="true" outlineLevel="0" collapsed="false">
      <c r="A398" s="39" t="str">
        <f aca="false">IF($H398="","",ROWS(A$5:A398))</f>
        <v/>
      </c>
      <c r="B398" s="40" t="str">
        <f aca="false">IF($H398="","",INDEX(Задачи!$A$1:$A$501,$H398)&amp;"")</f>
        <v/>
      </c>
      <c r="C398" s="40" t="str">
        <f aca="false">IF($H398="","",INDEX(Задачи!$B$1:$B$501,$H398)&amp;"")</f>
        <v/>
      </c>
      <c r="D398" s="39" t="str">
        <f aca="false">IF($H398="","",INDEX(Задачи!$C$1:$C$501,$H398)&amp;"")</f>
        <v/>
      </c>
      <c r="E398" s="41" t="str">
        <f aca="false">IF($H398="","",IF(INDEX(Задачи!$E$1:$E$501,$H398)="","",INDEX(Задачи!$E$1:$E$501,$H398)))</f>
        <v/>
      </c>
      <c r="F398" s="41" t="str">
        <f aca="false">IF($H398="","",IF(INDEX(Задачи!$F$1:$F$501,$H398)="","",INDEX(Задачи!$F$1:$F$501,$H398)))</f>
        <v/>
      </c>
      <c r="G398" s="40" t="str">
        <f aca="false">IF($H398="","",INDEX(Задачи!$I$1:$I$501,$H398)&amp;"")</f>
        <v/>
      </c>
      <c r="H398" s="20" t="str">
        <f aca="false">IFERROR(MOD(LARGE(Задачи!$P$2:$P$501,ROWS(H$5:H398)),1000),"")</f>
        <v/>
      </c>
    </row>
    <row r="399" customFormat="false" ht="30" hidden="false" customHeight="true" outlineLevel="0" collapsed="false">
      <c r="A399" s="39" t="str">
        <f aca="false">IF($H399="","",ROWS(A$5:A399))</f>
        <v/>
      </c>
      <c r="B399" s="40" t="str">
        <f aca="false">IF($H399="","",INDEX(Задачи!$A$1:$A$501,$H399)&amp;"")</f>
        <v/>
      </c>
      <c r="C399" s="40" t="str">
        <f aca="false">IF($H399="","",INDEX(Задачи!$B$1:$B$501,$H399)&amp;"")</f>
        <v/>
      </c>
      <c r="D399" s="39" t="str">
        <f aca="false">IF($H399="","",INDEX(Задачи!$C$1:$C$501,$H399)&amp;"")</f>
        <v/>
      </c>
      <c r="E399" s="41" t="str">
        <f aca="false">IF($H399="","",IF(INDEX(Задачи!$E$1:$E$501,$H399)="","",INDEX(Задачи!$E$1:$E$501,$H399)))</f>
        <v/>
      </c>
      <c r="F399" s="41" t="str">
        <f aca="false">IF($H399="","",IF(INDEX(Задачи!$F$1:$F$501,$H399)="","",INDEX(Задачи!$F$1:$F$501,$H399)))</f>
        <v/>
      </c>
      <c r="G399" s="40" t="str">
        <f aca="false">IF($H399="","",INDEX(Задачи!$I$1:$I$501,$H399)&amp;"")</f>
        <v/>
      </c>
      <c r="H399" s="20" t="str">
        <f aca="false">IFERROR(MOD(LARGE(Задачи!$P$2:$P$501,ROWS(H$5:H399)),1000),"")</f>
        <v/>
      </c>
    </row>
    <row r="400" customFormat="false" ht="30" hidden="false" customHeight="true" outlineLevel="0" collapsed="false">
      <c r="A400" s="39" t="str">
        <f aca="false">IF($H400="","",ROWS(A$5:A400))</f>
        <v/>
      </c>
      <c r="B400" s="40" t="str">
        <f aca="false">IF($H400="","",INDEX(Задачи!$A$1:$A$501,$H400)&amp;"")</f>
        <v/>
      </c>
      <c r="C400" s="40" t="str">
        <f aca="false">IF($H400="","",INDEX(Задачи!$B$1:$B$501,$H400)&amp;"")</f>
        <v/>
      </c>
      <c r="D400" s="39" t="str">
        <f aca="false">IF($H400="","",INDEX(Задачи!$C$1:$C$501,$H400)&amp;"")</f>
        <v/>
      </c>
      <c r="E400" s="41" t="str">
        <f aca="false">IF($H400="","",IF(INDEX(Задачи!$E$1:$E$501,$H400)="","",INDEX(Задачи!$E$1:$E$501,$H400)))</f>
        <v/>
      </c>
      <c r="F400" s="41" t="str">
        <f aca="false">IF($H400="","",IF(INDEX(Задачи!$F$1:$F$501,$H400)="","",INDEX(Задачи!$F$1:$F$501,$H400)))</f>
        <v/>
      </c>
      <c r="G400" s="40" t="str">
        <f aca="false">IF($H400="","",INDEX(Задачи!$I$1:$I$501,$H400)&amp;"")</f>
        <v/>
      </c>
      <c r="H400" s="20" t="str">
        <f aca="false">IFERROR(MOD(LARGE(Задачи!$P$2:$P$501,ROWS(H$5:H400)),1000),"")</f>
        <v/>
      </c>
    </row>
    <row r="401" customFormat="false" ht="30" hidden="false" customHeight="true" outlineLevel="0" collapsed="false">
      <c r="A401" s="39" t="str">
        <f aca="false">IF($H401="","",ROWS(A$5:A401))</f>
        <v/>
      </c>
      <c r="B401" s="40" t="str">
        <f aca="false">IF($H401="","",INDEX(Задачи!$A$1:$A$501,$H401)&amp;"")</f>
        <v/>
      </c>
      <c r="C401" s="40" t="str">
        <f aca="false">IF($H401="","",INDEX(Задачи!$B$1:$B$501,$H401)&amp;"")</f>
        <v/>
      </c>
      <c r="D401" s="39" t="str">
        <f aca="false">IF($H401="","",INDEX(Задачи!$C$1:$C$501,$H401)&amp;"")</f>
        <v/>
      </c>
      <c r="E401" s="41" t="str">
        <f aca="false">IF($H401="","",IF(INDEX(Задачи!$E$1:$E$501,$H401)="","",INDEX(Задачи!$E$1:$E$501,$H401)))</f>
        <v/>
      </c>
      <c r="F401" s="41" t="str">
        <f aca="false">IF($H401="","",IF(INDEX(Задачи!$F$1:$F$501,$H401)="","",INDEX(Задачи!$F$1:$F$501,$H401)))</f>
        <v/>
      </c>
      <c r="G401" s="40" t="str">
        <f aca="false">IF($H401="","",INDEX(Задачи!$I$1:$I$501,$H401)&amp;"")</f>
        <v/>
      </c>
      <c r="H401" s="20" t="str">
        <f aca="false">IFERROR(MOD(LARGE(Задачи!$P$2:$P$501,ROWS(H$5:H401)),1000),"")</f>
        <v/>
      </c>
    </row>
    <row r="402" customFormat="false" ht="30" hidden="false" customHeight="true" outlineLevel="0" collapsed="false">
      <c r="A402" s="39" t="str">
        <f aca="false">IF($H402="","",ROWS(A$5:A402))</f>
        <v/>
      </c>
      <c r="B402" s="40" t="str">
        <f aca="false">IF($H402="","",INDEX(Задачи!$A$1:$A$501,$H402)&amp;"")</f>
        <v/>
      </c>
      <c r="C402" s="40" t="str">
        <f aca="false">IF($H402="","",INDEX(Задачи!$B$1:$B$501,$H402)&amp;"")</f>
        <v/>
      </c>
      <c r="D402" s="39" t="str">
        <f aca="false">IF($H402="","",INDEX(Задачи!$C$1:$C$501,$H402)&amp;"")</f>
        <v/>
      </c>
      <c r="E402" s="41" t="str">
        <f aca="false">IF($H402="","",IF(INDEX(Задачи!$E$1:$E$501,$H402)="","",INDEX(Задачи!$E$1:$E$501,$H402)))</f>
        <v/>
      </c>
      <c r="F402" s="41" t="str">
        <f aca="false">IF($H402="","",IF(INDEX(Задачи!$F$1:$F$501,$H402)="","",INDEX(Задачи!$F$1:$F$501,$H402)))</f>
        <v/>
      </c>
      <c r="G402" s="40" t="str">
        <f aca="false">IF($H402="","",INDEX(Задачи!$I$1:$I$501,$H402)&amp;"")</f>
        <v/>
      </c>
      <c r="H402" s="20" t="str">
        <f aca="false">IFERROR(MOD(LARGE(Задачи!$P$2:$P$501,ROWS(H$5:H402)),1000),"")</f>
        <v/>
      </c>
    </row>
    <row r="403" customFormat="false" ht="30" hidden="false" customHeight="true" outlineLevel="0" collapsed="false">
      <c r="A403" s="39" t="str">
        <f aca="false">IF($H403="","",ROWS(A$5:A403))</f>
        <v/>
      </c>
      <c r="B403" s="40" t="str">
        <f aca="false">IF($H403="","",INDEX(Задачи!$A$1:$A$501,$H403)&amp;"")</f>
        <v/>
      </c>
      <c r="C403" s="40" t="str">
        <f aca="false">IF($H403="","",INDEX(Задачи!$B$1:$B$501,$H403)&amp;"")</f>
        <v/>
      </c>
      <c r="D403" s="39" t="str">
        <f aca="false">IF($H403="","",INDEX(Задачи!$C$1:$C$501,$H403)&amp;"")</f>
        <v/>
      </c>
      <c r="E403" s="41" t="str">
        <f aca="false">IF($H403="","",IF(INDEX(Задачи!$E$1:$E$501,$H403)="","",INDEX(Задачи!$E$1:$E$501,$H403)))</f>
        <v/>
      </c>
      <c r="F403" s="41" t="str">
        <f aca="false">IF($H403="","",IF(INDEX(Задачи!$F$1:$F$501,$H403)="","",INDEX(Задачи!$F$1:$F$501,$H403)))</f>
        <v/>
      </c>
      <c r="G403" s="40" t="str">
        <f aca="false">IF($H403="","",INDEX(Задачи!$I$1:$I$501,$H403)&amp;"")</f>
        <v/>
      </c>
      <c r="H403" s="20" t="str">
        <f aca="false">IFERROR(MOD(LARGE(Задачи!$P$2:$P$501,ROWS(H$5:H403)),1000),"")</f>
        <v/>
      </c>
    </row>
    <row r="404" customFormat="false" ht="30" hidden="false" customHeight="true" outlineLevel="0" collapsed="false">
      <c r="A404" s="39" t="str">
        <f aca="false">IF($H404="","",ROWS(A$5:A404))</f>
        <v/>
      </c>
      <c r="B404" s="40" t="str">
        <f aca="false">IF($H404="","",INDEX(Задачи!$A$1:$A$501,$H404)&amp;"")</f>
        <v/>
      </c>
      <c r="C404" s="40" t="str">
        <f aca="false">IF($H404="","",INDEX(Задачи!$B$1:$B$501,$H404)&amp;"")</f>
        <v/>
      </c>
      <c r="D404" s="39" t="str">
        <f aca="false">IF($H404="","",INDEX(Задачи!$C$1:$C$501,$H404)&amp;"")</f>
        <v/>
      </c>
      <c r="E404" s="41" t="str">
        <f aca="false">IF($H404="","",IF(INDEX(Задачи!$E$1:$E$501,$H404)="","",INDEX(Задачи!$E$1:$E$501,$H404)))</f>
        <v/>
      </c>
      <c r="F404" s="41" t="str">
        <f aca="false">IF($H404="","",IF(INDEX(Задачи!$F$1:$F$501,$H404)="","",INDEX(Задачи!$F$1:$F$501,$H404)))</f>
        <v/>
      </c>
      <c r="G404" s="40" t="str">
        <f aca="false">IF($H404="","",INDEX(Задачи!$I$1:$I$501,$H404)&amp;"")</f>
        <v/>
      </c>
      <c r="H404" s="20" t="str">
        <f aca="false">IFERROR(MOD(LARGE(Задачи!$P$2:$P$501,ROWS(H$5:H404)),1000),"")</f>
        <v/>
      </c>
    </row>
    <row r="405" customFormat="false" ht="30" hidden="false" customHeight="true" outlineLevel="0" collapsed="false">
      <c r="A405" s="39" t="str">
        <f aca="false">IF($H405="","",ROWS(A$5:A405))</f>
        <v/>
      </c>
      <c r="B405" s="40" t="str">
        <f aca="false">IF($H405="","",INDEX(Задачи!$A$1:$A$501,$H405)&amp;"")</f>
        <v/>
      </c>
      <c r="C405" s="40" t="str">
        <f aca="false">IF($H405="","",INDEX(Задачи!$B$1:$B$501,$H405)&amp;"")</f>
        <v/>
      </c>
      <c r="D405" s="39" t="str">
        <f aca="false">IF($H405="","",INDEX(Задачи!$C$1:$C$501,$H405)&amp;"")</f>
        <v/>
      </c>
      <c r="E405" s="41" t="str">
        <f aca="false">IF($H405="","",IF(INDEX(Задачи!$E$1:$E$501,$H405)="","",INDEX(Задачи!$E$1:$E$501,$H405)))</f>
        <v/>
      </c>
      <c r="F405" s="41" t="str">
        <f aca="false">IF($H405="","",IF(INDEX(Задачи!$F$1:$F$501,$H405)="","",INDEX(Задачи!$F$1:$F$501,$H405)))</f>
        <v/>
      </c>
      <c r="G405" s="40" t="str">
        <f aca="false">IF($H405="","",INDEX(Задачи!$I$1:$I$501,$H405)&amp;"")</f>
        <v/>
      </c>
      <c r="H405" s="20" t="str">
        <f aca="false">IFERROR(MOD(LARGE(Задачи!$P$2:$P$501,ROWS(H$5:H405)),1000),"")</f>
        <v/>
      </c>
    </row>
    <row r="406" customFormat="false" ht="30" hidden="false" customHeight="true" outlineLevel="0" collapsed="false">
      <c r="A406" s="39" t="str">
        <f aca="false">IF($H406="","",ROWS(A$5:A406))</f>
        <v/>
      </c>
      <c r="B406" s="40" t="str">
        <f aca="false">IF($H406="","",INDEX(Задачи!$A$1:$A$501,$H406)&amp;"")</f>
        <v/>
      </c>
      <c r="C406" s="40" t="str">
        <f aca="false">IF($H406="","",INDEX(Задачи!$B$1:$B$501,$H406)&amp;"")</f>
        <v/>
      </c>
      <c r="D406" s="39" t="str">
        <f aca="false">IF($H406="","",INDEX(Задачи!$C$1:$C$501,$H406)&amp;"")</f>
        <v/>
      </c>
      <c r="E406" s="41" t="str">
        <f aca="false">IF($H406="","",IF(INDEX(Задачи!$E$1:$E$501,$H406)="","",INDEX(Задачи!$E$1:$E$501,$H406)))</f>
        <v/>
      </c>
      <c r="F406" s="41" t="str">
        <f aca="false">IF($H406="","",IF(INDEX(Задачи!$F$1:$F$501,$H406)="","",INDEX(Задачи!$F$1:$F$501,$H406)))</f>
        <v/>
      </c>
      <c r="G406" s="40" t="str">
        <f aca="false">IF($H406="","",INDEX(Задачи!$I$1:$I$501,$H406)&amp;"")</f>
        <v/>
      </c>
      <c r="H406" s="20" t="str">
        <f aca="false">IFERROR(MOD(LARGE(Задачи!$P$2:$P$501,ROWS(H$5:H406)),1000),"")</f>
        <v/>
      </c>
    </row>
    <row r="407" customFormat="false" ht="30" hidden="false" customHeight="true" outlineLevel="0" collapsed="false">
      <c r="A407" s="39" t="str">
        <f aca="false">IF($H407="","",ROWS(A$5:A407))</f>
        <v/>
      </c>
      <c r="B407" s="40" t="str">
        <f aca="false">IF($H407="","",INDEX(Задачи!$A$1:$A$501,$H407)&amp;"")</f>
        <v/>
      </c>
      <c r="C407" s="40" t="str">
        <f aca="false">IF($H407="","",INDEX(Задачи!$B$1:$B$501,$H407)&amp;"")</f>
        <v/>
      </c>
      <c r="D407" s="39" t="str">
        <f aca="false">IF($H407="","",INDEX(Задачи!$C$1:$C$501,$H407)&amp;"")</f>
        <v/>
      </c>
      <c r="E407" s="41" t="str">
        <f aca="false">IF($H407="","",IF(INDEX(Задачи!$E$1:$E$501,$H407)="","",INDEX(Задачи!$E$1:$E$501,$H407)))</f>
        <v/>
      </c>
      <c r="F407" s="41" t="str">
        <f aca="false">IF($H407="","",IF(INDEX(Задачи!$F$1:$F$501,$H407)="","",INDEX(Задачи!$F$1:$F$501,$H407)))</f>
        <v/>
      </c>
      <c r="G407" s="40" t="str">
        <f aca="false">IF($H407="","",INDEX(Задачи!$I$1:$I$501,$H407)&amp;"")</f>
        <v/>
      </c>
      <c r="H407" s="20" t="str">
        <f aca="false">IFERROR(MOD(LARGE(Задачи!$P$2:$P$501,ROWS(H$5:H407)),1000),"")</f>
        <v/>
      </c>
    </row>
    <row r="408" customFormat="false" ht="30" hidden="false" customHeight="true" outlineLevel="0" collapsed="false">
      <c r="A408" s="39" t="str">
        <f aca="false">IF($H408="","",ROWS(A$5:A408))</f>
        <v/>
      </c>
      <c r="B408" s="40" t="str">
        <f aca="false">IF($H408="","",INDEX(Задачи!$A$1:$A$501,$H408)&amp;"")</f>
        <v/>
      </c>
      <c r="C408" s="40" t="str">
        <f aca="false">IF($H408="","",INDEX(Задачи!$B$1:$B$501,$H408)&amp;"")</f>
        <v/>
      </c>
      <c r="D408" s="39" t="str">
        <f aca="false">IF($H408="","",INDEX(Задачи!$C$1:$C$501,$H408)&amp;"")</f>
        <v/>
      </c>
      <c r="E408" s="41" t="str">
        <f aca="false">IF($H408="","",IF(INDEX(Задачи!$E$1:$E$501,$H408)="","",INDEX(Задачи!$E$1:$E$501,$H408)))</f>
        <v/>
      </c>
      <c r="F408" s="41" t="str">
        <f aca="false">IF($H408="","",IF(INDEX(Задачи!$F$1:$F$501,$H408)="","",INDEX(Задачи!$F$1:$F$501,$H408)))</f>
        <v/>
      </c>
      <c r="G408" s="40" t="str">
        <f aca="false">IF($H408="","",INDEX(Задачи!$I$1:$I$501,$H408)&amp;"")</f>
        <v/>
      </c>
      <c r="H408" s="20" t="str">
        <f aca="false">IFERROR(MOD(LARGE(Задачи!$P$2:$P$501,ROWS(H$5:H408)),1000),"")</f>
        <v/>
      </c>
    </row>
    <row r="409" customFormat="false" ht="30" hidden="false" customHeight="true" outlineLevel="0" collapsed="false">
      <c r="A409" s="39" t="str">
        <f aca="false">IF($H409="","",ROWS(A$5:A409))</f>
        <v/>
      </c>
      <c r="B409" s="40" t="str">
        <f aca="false">IF($H409="","",INDEX(Задачи!$A$1:$A$501,$H409)&amp;"")</f>
        <v/>
      </c>
      <c r="C409" s="40" t="str">
        <f aca="false">IF($H409="","",INDEX(Задачи!$B$1:$B$501,$H409)&amp;"")</f>
        <v/>
      </c>
      <c r="D409" s="39" t="str">
        <f aca="false">IF($H409="","",INDEX(Задачи!$C$1:$C$501,$H409)&amp;"")</f>
        <v/>
      </c>
      <c r="E409" s="41" t="str">
        <f aca="false">IF($H409="","",IF(INDEX(Задачи!$E$1:$E$501,$H409)="","",INDEX(Задачи!$E$1:$E$501,$H409)))</f>
        <v/>
      </c>
      <c r="F409" s="41" t="str">
        <f aca="false">IF($H409="","",IF(INDEX(Задачи!$F$1:$F$501,$H409)="","",INDEX(Задачи!$F$1:$F$501,$H409)))</f>
        <v/>
      </c>
      <c r="G409" s="40" t="str">
        <f aca="false">IF($H409="","",INDEX(Задачи!$I$1:$I$501,$H409)&amp;"")</f>
        <v/>
      </c>
      <c r="H409" s="20" t="str">
        <f aca="false">IFERROR(MOD(LARGE(Задачи!$P$2:$P$501,ROWS(H$5:H409)),1000),"")</f>
        <v/>
      </c>
    </row>
    <row r="410" customFormat="false" ht="30" hidden="false" customHeight="true" outlineLevel="0" collapsed="false">
      <c r="A410" s="39" t="str">
        <f aca="false">IF($H410="","",ROWS(A$5:A410))</f>
        <v/>
      </c>
      <c r="B410" s="40" t="str">
        <f aca="false">IF($H410="","",INDEX(Задачи!$A$1:$A$501,$H410)&amp;"")</f>
        <v/>
      </c>
      <c r="C410" s="40" t="str">
        <f aca="false">IF($H410="","",INDEX(Задачи!$B$1:$B$501,$H410)&amp;"")</f>
        <v/>
      </c>
      <c r="D410" s="39" t="str">
        <f aca="false">IF($H410="","",INDEX(Задачи!$C$1:$C$501,$H410)&amp;"")</f>
        <v/>
      </c>
      <c r="E410" s="41" t="str">
        <f aca="false">IF($H410="","",IF(INDEX(Задачи!$E$1:$E$501,$H410)="","",INDEX(Задачи!$E$1:$E$501,$H410)))</f>
        <v/>
      </c>
      <c r="F410" s="41" t="str">
        <f aca="false">IF($H410="","",IF(INDEX(Задачи!$F$1:$F$501,$H410)="","",INDEX(Задачи!$F$1:$F$501,$H410)))</f>
        <v/>
      </c>
      <c r="G410" s="40" t="str">
        <f aca="false">IF($H410="","",INDEX(Задачи!$I$1:$I$501,$H410)&amp;"")</f>
        <v/>
      </c>
      <c r="H410" s="20" t="str">
        <f aca="false">IFERROR(MOD(LARGE(Задачи!$P$2:$P$501,ROWS(H$5:H410)),1000),"")</f>
        <v/>
      </c>
    </row>
    <row r="411" customFormat="false" ht="30" hidden="false" customHeight="true" outlineLevel="0" collapsed="false">
      <c r="A411" s="39" t="str">
        <f aca="false">IF($H411="","",ROWS(A$5:A411))</f>
        <v/>
      </c>
      <c r="B411" s="40" t="str">
        <f aca="false">IF($H411="","",INDEX(Задачи!$A$1:$A$501,$H411)&amp;"")</f>
        <v/>
      </c>
      <c r="C411" s="40" t="str">
        <f aca="false">IF($H411="","",INDEX(Задачи!$B$1:$B$501,$H411)&amp;"")</f>
        <v/>
      </c>
      <c r="D411" s="39" t="str">
        <f aca="false">IF($H411="","",INDEX(Задачи!$C$1:$C$501,$H411)&amp;"")</f>
        <v/>
      </c>
      <c r="E411" s="41" t="str">
        <f aca="false">IF($H411="","",IF(INDEX(Задачи!$E$1:$E$501,$H411)="","",INDEX(Задачи!$E$1:$E$501,$H411)))</f>
        <v/>
      </c>
      <c r="F411" s="41" t="str">
        <f aca="false">IF($H411="","",IF(INDEX(Задачи!$F$1:$F$501,$H411)="","",INDEX(Задачи!$F$1:$F$501,$H411)))</f>
        <v/>
      </c>
      <c r="G411" s="40" t="str">
        <f aca="false">IF($H411="","",INDEX(Задачи!$I$1:$I$501,$H411)&amp;"")</f>
        <v/>
      </c>
      <c r="H411" s="20" t="str">
        <f aca="false">IFERROR(MOD(LARGE(Задачи!$P$2:$P$501,ROWS(H$5:H411)),1000),"")</f>
        <v/>
      </c>
    </row>
    <row r="412" customFormat="false" ht="30" hidden="false" customHeight="true" outlineLevel="0" collapsed="false">
      <c r="A412" s="39" t="str">
        <f aca="false">IF($H412="","",ROWS(A$5:A412))</f>
        <v/>
      </c>
      <c r="B412" s="40" t="str">
        <f aca="false">IF($H412="","",INDEX(Задачи!$A$1:$A$501,$H412)&amp;"")</f>
        <v/>
      </c>
      <c r="C412" s="40" t="str">
        <f aca="false">IF($H412="","",INDEX(Задачи!$B$1:$B$501,$H412)&amp;"")</f>
        <v/>
      </c>
      <c r="D412" s="39" t="str">
        <f aca="false">IF($H412="","",INDEX(Задачи!$C$1:$C$501,$H412)&amp;"")</f>
        <v/>
      </c>
      <c r="E412" s="41" t="str">
        <f aca="false">IF($H412="","",IF(INDEX(Задачи!$E$1:$E$501,$H412)="","",INDEX(Задачи!$E$1:$E$501,$H412)))</f>
        <v/>
      </c>
      <c r="F412" s="41" t="str">
        <f aca="false">IF($H412="","",IF(INDEX(Задачи!$F$1:$F$501,$H412)="","",INDEX(Задачи!$F$1:$F$501,$H412)))</f>
        <v/>
      </c>
      <c r="G412" s="40" t="str">
        <f aca="false">IF($H412="","",INDEX(Задачи!$I$1:$I$501,$H412)&amp;"")</f>
        <v/>
      </c>
      <c r="H412" s="20" t="str">
        <f aca="false">IFERROR(MOD(LARGE(Задачи!$P$2:$P$501,ROWS(H$5:H412)),1000),"")</f>
        <v/>
      </c>
    </row>
    <row r="413" customFormat="false" ht="30" hidden="false" customHeight="true" outlineLevel="0" collapsed="false">
      <c r="A413" s="39" t="str">
        <f aca="false">IF($H413="","",ROWS(A$5:A413))</f>
        <v/>
      </c>
      <c r="B413" s="40" t="str">
        <f aca="false">IF($H413="","",INDEX(Задачи!$A$1:$A$501,$H413)&amp;"")</f>
        <v/>
      </c>
      <c r="C413" s="40" t="str">
        <f aca="false">IF($H413="","",INDEX(Задачи!$B$1:$B$501,$H413)&amp;"")</f>
        <v/>
      </c>
      <c r="D413" s="39" t="str">
        <f aca="false">IF($H413="","",INDEX(Задачи!$C$1:$C$501,$H413)&amp;"")</f>
        <v/>
      </c>
      <c r="E413" s="41" t="str">
        <f aca="false">IF($H413="","",IF(INDEX(Задачи!$E$1:$E$501,$H413)="","",INDEX(Задачи!$E$1:$E$501,$H413)))</f>
        <v/>
      </c>
      <c r="F413" s="41" t="str">
        <f aca="false">IF($H413="","",IF(INDEX(Задачи!$F$1:$F$501,$H413)="","",INDEX(Задачи!$F$1:$F$501,$H413)))</f>
        <v/>
      </c>
      <c r="G413" s="40" t="str">
        <f aca="false">IF($H413="","",INDEX(Задачи!$I$1:$I$501,$H413)&amp;"")</f>
        <v/>
      </c>
      <c r="H413" s="20" t="str">
        <f aca="false">IFERROR(MOD(LARGE(Задачи!$P$2:$P$501,ROWS(H$5:H413)),1000),"")</f>
        <v/>
      </c>
    </row>
    <row r="414" customFormat="false" ht="30" hidden="false" customHeight="true" outlineLevel="0" collapsed="false">
      <c r="A414" s="39" t="str">
        <f aca="false">IF($H414="","",ROWS(A$5:A414))</f>
        <v/>
      </c>
      <c r="B414" s="40" t="str">
        <f aca="false">IF($H414="","",INDEX(Задачи!$A$1:$A$501,$H414)&amp;"")</f>
        <v/>
      </c>
      <c r="C414" s="40" t="str">
        <f aca="false">IF($H414="","",INDEX(Задачи!$B$1:$B$501,$H414)&amp;"")</f>
        <v/>
      </c>
      <c r="D414" s="39" t="str">
        <f aca="false">IF($H414="","",INDEX(Задачи!$C$1:$C$501,$H414)&amp;"")</f>
        <v/>
      </c>
      <c r="E414" s="41" t="str">
        <f aca="false">IF($H414="","",IF(INDEX(Задачи!$E$1:$E$501,$H414)="","",INDEX(Задачи!$E$1:$E$501,$H414)))</f>
        <v/>
      </c>
      <c r="F414" s="41" t="str">
        <f aca="false">IF($H414="","",IF(INDEX(Задачи!$F$1:$F$501,$H414)="","",INDEX(Задачи!$F$1:$F$501,$H414)))</f>
        <v/>
      </c>
      <c r="G414" s="40" t="str">
        <f aca="false">IF($H414="","",INDEX(Задачи!$I$1:$I$501,$H414)&amp;"")</f>
        <v/>
      </c>
      <c r="H414" s="20" t="str">
        <f aca="false">IFERROR(MOD(LARGE(Задачи!$P$2:$P$501,ROWS(H$5:H414)),1000),"")</f>
        <v/>
      </c>
    </row>
    <row r="415" customFormat="false" ht="30" hidden="false" customHeight="true" outlineLevel="0" collapsed="false">
      <c r="A415" s="39" t="str">
        <f aca="false">IF($H415="","",ROWS(A$5:A415))</f>
        <v/>
      </c>
      <c r="B415" s="40" t="str">
        <f aca="false">IF($H415="","",INDEX(Задачи!$A$1:$A$501,$H415)&amp;"")</f>
        <v/>
      </c>
      <c r="C415" s="40" t="str">
        <f aca="false">IF($H415="","",INDEX(Задачи!$B$1:$B$501,$H415)&amp;"")</f>
        <v/>
      </c>
      <c r="D415" s="39" t="str">
        <f aca="false">IF($H415="","",INDEX(Задачи!$C$1:$C$501,$H415)&amp;"")</f>
        <v/>
      </c>
      <c r="E415" s="41" t="str">
        <f aca="false">IF($H415="","",IF(INDEX(Задачи!$E$1:$E$501,$H415)="","",INDEX(Задачи!$E$1:$E$501,$H415)))</f>
        <v/>
      </c>
      <c r="F415" s="41" t="str">
        <f aca="false">IF($H415="","",IF(INDEX(Задачи!$F$1:$F$501,$H415)="","",INDEX(Задачи!$F$1:$F$501,$H415)))</f>
        <v/>
      </c>
      <c r="G415" s="40" t="str">
        <f aca="false">IF($H415="","",INDEX(Задачи!$I$1:$I$501,$H415)&amp;"")</f>
        <v/>
      </c>
      <c r="H415" s="20" t="str">
        <f aca="false">IFERROR(MOD(LARGE(Задачи!$P$2:$P$501,ROWS(H$5:H415)),1000),"")</f>
        <v/>
      </c>
    </row>
    <row r="416" customFormat="false" ht="30" hidden="false" customHeight="true" outlineLevel="0" collapsed="false">
      <c r="A416" s="39" t="str">
        <f aca="false">IF($H416="","",ROWS(A$5:A416))</f>
        <v/>
      </c>
      <c r="B416" s="40" t="str">
        <f aca="false">IF($H416="","",INDEX(Задачи!$A$1:$A$501,$H416)&amp;"")</f>
        <v/>
      </c>
      <c r="C416" s="40" t="str">
        <f aca="false">IF($H416="","",INDEX(Задачи!$B$1:$B$501,$H416)&amp;"")</f>
        <v/>
      </c>
      <c r="D416" s="39" t="str">
        <f aca="false">IF($H416="","",INDEX(Задачи!$C$1:$C$501,$H416)&amp;"")</f>
        <v/>
      </c>
      <c r="E416" s="41" t="str">
        <f aca="false">IF($H416="","",IF(INDEX(Задачи!$E$1:$E$501,$H416)="","",INDEX(Задачи!$E$1:$E$501,$H416)))</f>
        <v/>
      </c>
      <c r="F416" s="41" t="str">
        <f aca="false">IF($H416="","",IF(INDEX(Задачи!$F$1:$F$501,$H416)="","",INDEX(Задачи!$F$1:$F$501,$H416)))</f>
        <v/>
      </c>
      <c r="G416" s="40" t="str">
        <f aca="false">IF($H416="","",INDEX(Задачи!$I$1:$I$501,$H416)&amp;"")</f>
        <v/>
      </c>
      <c r="H416" s="20" t="str">
        <f aca="false">IFERROR(MOD(LARGE(Задачи!$P$2:$P$501,ROWS(H$5:H416)),1000),"")</f>
        <v/>
      </c>
    </row>
    <row r="417" customFormat="false" ht="30" hidden="false" customHeight="true" outlineLevel="0" collapsed="false">
      <c r="A417" s="39" t="str">
        <f aca="false">IF($H417="","",ROWS(A$5:A417))</f>
        <v/>
      </c>
      <c r="B417" s="40" t="str">
        <f aca="false">IF($H417="","",INDEX(Задачи!$A$1:$A$501,$H417)&amp;"")</f>
        <v/>
      </c>
      <c r="C417" s="40" t="str">
        <f aca="false">IF($H417="","",INDEX(Задачи!$B$1:$B$501,$H417)&amp;"")</f>
        <v/>
      </c>
      <c r="D417" s="39" t="str">
        <f aca="false">IF($H417="","",INDEX(Задачи!$C$1:$C$501,$H417)&amp;"")</f>
        <v/>
      </c>
      <c r="E417" s="41" t="str">
        <f aca="false">IF($H417="","",IF(INDEX(Задачи!$E$1:$E$501,$H417)="","",INDEX(Задачи!$E$1:$E$501,$H417)))</f>
        <v/>
      </c>
      <c r="F417" s="41" t="str">
        <f aca="false">IF($H417="","",IF(INDEX(Задачи!$F$1:$F$501,$H417)="","",INDEX(Задачи!$F$1:$F$501,$H417)))</f>
        <v/>
      </c>
      <c r="G417" s="40" t="str">
        <f aca="false">IF($H417="","",INDEX(Задачи!$I$1:$I$501,$H417)&amp;"")</f>
        <v/>
      </c>
      <c r="H417" s="20" t="str">
        <f aca="false">IFERROR(MOD(LARGE(Задачи!$P$2:$P$501,ROWS(H$5:H417)),1000),"")</f>
        <v/>
      </c>
    </row>
    <row r="418" customFormat="false" ht="30" hidden="false" customHeight="true" outlineLevel="0" collapsed="false">
      <c r="A418" s="39" t="str">
        <f aca="false">IF($H418="","",ROWS(A$5:A418))</f>
        <v/>
      </c>
      <c r="B418" s="40" t="str">
        <f aca="false">IF($H418="","",INDEX(Задачи!$A$1:$A$501,$H418)&amp;"")</f>
        <v/>
      </c>
      <c r="C418" s="40" t="str">
        <f aca="false">IF($H418="","",INDEX(Задачи!$B$1:$B$501,$H418)&amp;"")</f>
        <v/>
      </c>
      <c r="D418" s="39" t="str">
        <f aca="false">IF($H418="","",INDEX(Задачи!$C$1:$C$501,$H418)&amp;"")</f>
        <v/>
      </c>
      <c r="E418" s="41" t="str">
        <f aca="false">IF($H418="","",IF(INDEX(Задачи!$E$1:$E$501,$H418)="","",INDEX(Задачи!$E$1:$E$501,$H418)))</f>
        <v/>
      </c>
      <c r="F418" s="41" t="str">
        <f aca="false">IF($H418="","",IF(INDEX(Задачи!$F$1:$F$501,$H418)="","",INDEX(Задачи!$F$1:$F$501,$H418)))</f>
        <v/>
      </c>
      <c r="G418" s="40" t="str">
        <f aca="false">IF($H418="","",INDEX(Задачи!$I$1:$I$501,$H418)&amp;"")</f>
        <v/>
      </c>
      <c r="H418" s="20" t="str">
        <f aca="false">IFERROR(MOD(LARGE(Задачи!$P$2:$P$501,ROWS(H$5:H418)),1000),"")</f>
        <v/>
      </c>
    </row>
    <row r="419" customFormat="false" ht="30" hidden="false" customHeight="true" outlineLevel="0" collapsed="false">
      <c r="A419" s="39" t="str">
        <f aca="false">IF($H419="","",ROWS(A$5:A419))</f>
        <v/>
      </c>
      <c r="B419" s="40" t="str">
        <f aca="false">IF($H419="","",INDEX(Задачи!$A$1:$A$501,$H419)&amp;"")</f>
        <v/>
      </c>
      <c r="C419" s="40" t="str">
        <f aca="false">IF($H419="","",INDEX(Задачи!$B$1:$B$501,$H419)&amp;"")</f>
        <v/>
      </c>
      <c r="D419" s="39" t="str">
        <f aca="false">IF($H419="","",INDEX(Задачи!$C$1:$C$501,$H419)&amp;"")</f>
        <v/>
      </c>
      <c r="E419" s="41" t="str">
        <f aca="false">IF($H419="","",IF(INDEX(Задачи!$E$1:$E$501,$H419)="","",INDEX(Задачи!$E$1:$E$501,$H419)))</f>
        <v/>
      </c>
      <c r="F419" s="41" t="str">
        <f aca="false">IF($H419="","",IF(INDEX(Задачи!$F$1:$F$501,$H419)="","",INDEX(Задачи!$F$1:$F$501,$H419)))</f>
        <v/>
      </c>
      <c r="G419" s="40" t="str">
        <f aca="false">IF($H419="","",INDEX(Задачи!$I$1:$I$501,$H419)&amp;"")</f>
        <v/>
      </c>
      <c r="H419" s="20" t="str">
        <f aca="false">IFERROR(MOD(LARGE(Задачи!$P$2:$P$501,ROWS(H$5:H419)),1000),"")</f>
        <v/>
      </c>
    </row>
    <row r="420" customFormat="false" ht="30" hidden="false" customHeight="true" outlineLevel="0" collapsed="false">
      <c r="A420" s="39" t="str">
        <f aca="false">IF($H420="","",ROWS(A$5:A420))</f>
        <v/>
      </c>
      <c r="B420" s="40" t="str">
        <f aca="false">IF($H420="","",INDEX(Задачи!$A$1:$A$501,$H420)&amp;"")</f>
        <v/>
      </c>
      <c r="C420" s="40" t="str">
        <f aca="false">IF($H420="","",INDEX(Задачи!$B$1:$B$501,$H420)&amp;"")</f>
        <v/>
      </c>
      <c r="D420" s="39" t="str">
        <f aca="false">IF($H420="","",INDEX(Задачи!$C$1:$C$501,$H420)&amp;"")</f>
        <v/>
      </c>
      <c r="E420" s="41" t="str">
        <f aca="false">IF($H420="","",IF(INDEX(Задачи!$E$1:$E$501,$H420)="","",INDEX(Задачи!$E$1:$E$501,$H420)))</f>
        <v/>
      </c>
      <c r="F420" s="41" t="str">
        <f aca="false">IF($H420="","",IF(INDEX(Задачи!$F$1:$F$501,$H420)="","",INDEX(Задачи!$F$1:$F$501,$H420)))</f>
        <v/>
      </c>
      <c r="G420" s="40" t="str">
        <f aca="false">IF($H420="","",INDEX(Задачи!$I$1:$I$501,$H420)&amp;"")</f>
        <v/>
      </c>
      <c r="H420" s="20" t="str">
        <f aca="false">IFERROR(MOD(LARGE(Задачи!$P$2:$P$501,ROWS(H$5:H420)),1000),"")</f>
        <v/>
      </c>
    </row>
    <row r="421" customFormat="false" ht="30" hidden="false" customHeight="true" outlineLevel="0" collapsed="false">
      <c r="A421" s="39" t="str">
        <f aca="false">IF($H421="","",ROWS(A$5:A421))</f>
        <v/>
      </c>
      <c r="B421" s="40" t="str">
        <f aca="false">IF($H421="","",INDEX(Задачи!$A$1:$A$501,$H421)&amp;"")</f>
        <v/>
      </c>
      <c r="C421" s="40" t="str">
        <f aca="false">IF($H421="","",INDEX(Задачи!$B$1:$B$501,$H421)&amp;"")</f>
        <v/>
      </c>
      <c r="D421" s="39" t="str">
        <f aca="false">IF($H421="","",INDEX(Задачи!$C$1:$C$501,$H421)&amp;"")</f>
        <v/>
      </c>
      <c r="E421" s="41" t="str">
        <f aca="false">IF($H421="","",IF(INDEX(Задачи!$E$1:$E$501,$H421)="","",INDEX(Задачи!$E$1:$E$501,$H421)))</f>
        <v/>
      </c>
      <c r="F421" s="41" t="str">
        <f aca="false">IF($H421="","",IF(INDEX(Задачи!$F$1:$F$501,$H421)="","",INDEX(Задачи!$F$1:$F$501,$H421)))</f>
        <v/>
      </c>
      <c r="G421" s="40" t="str">
        <f aca="false">IF($H421="","",INDEX(Задачи!$I$1:$I$501,$H421)&amp;"")</f>
        <v/>
      </c>
      <c r="H421" s="20" t="str">
        <f aca="false">IFERROR(MOD(LARGE(Задачи!$P$2:$P$501,ROWS(H$5:H421)),1000),"")</f>
        <v/>
      </c>
    </row>
    <row r="422" customFormat="false" ht="30" hidden="false" customHeight="true" outlineLevel="0" collapsed="false">
      <c r="A422" s="39" t="str">
        <f aca="false">IF($H422="","",ROWS(A$5:A422))</f>
        <v/>
      </c>
      <c r="B422" s="40" t="str">
        <f aca="false">IF($H422="","",INDEX(Задачи!$A$1:$A$501,$H422)&amp;"")</f>
        <v/>
      </c>
      <c r="C422" s="40" t="str">
        <f aca="false">IF($H422="","",INDEX(Задачи!$B$1:$B$501,$H422)&amp;"")</f>
        <v/>
      </c>
      <c r="D422" s="39" t="str">
        <f aca="false">IF($H422="","",INDEX(Задачи!$C$1:$C$501,$H422)&amp;"")</f>
        <v/>
      </c>
      <c r="E422" s="41" t="str">
        <f aca="false">IF($H422="","",IF(INDEX(Задачи!$E$1:$E$501,$H422)="","",INDEX(Задачи!$E$1:$E$501,$H422)))</f>
        <v/>
      </c>
      <c r="F422" s="41" t="str">
        <f aca="false">IF($H422="","",IF(INDEX(Задачи!$F$1:$F$501,$H422)="","",INDEX(Задачи!$F$1:$F$501,$H422)))</f>
        <v/>
      </c>
      <c r="G422" s="40" t="str">
        <f aca="false">IF($H422="","",INDEX(Задачи!$I$1:$I$501,$H422)&amp;"")</f>
        <v/>
      </c>
      <c r="H422" s="20" t="str">
        <f aca="false">IFERROR(MOD(LARGE(Задачи!$P$2:$P$501,ROWS(H$5:H422)),1000),"")</f>
        <v/>
      </c>
    </row>
    <row r="423" customFormat="false" ht="30" hidden="false" customHeight="true" outlineLevel="0" collapsed="false">
      <c r="A423" s="39" t="str">
        <f aca="false">IF($H423="","",ROWS(A$5:A423))</f>
        <v/>
      </c>
      <c r="B423" s="40" t="str">
        <f aca="false">IF($H423="","",INDEX(Задачи!$A$1:$A$501,$H423)&amp;"")</f>
        <v/>
      </c>
      <c r="C423" s="40" t="str">
        <f aca="false">IF($H423="","",INDEX(Задачи!$B$1:$B$501,$H423)&amp;"")</f>
        <v/>
      </c>
      <c r="D423" s="39" t="str">
        <f aca="false">IF($H423="","",INDEX(Задачи!$C$1:$C$501,$H423)&amp;"")</f>
        <v/>
      </c>
      <c r="E423" s="41" t="str">
        <f aca="false">IF($H423="","",IF(INDEX(Задачи!$E$1:$E$501,$H423)="","",INDEX(Задачи!$E$1:$E$501,$H423)))</f>
        <v/>
      </c>
      <c r="F423" s="41" t="str">
        <f aca="false">IF($H423="","",IF(INDEX(Задачи!$F$1:$F$501,$H423)="","",INDEX(Задачи!$F$1:$F$501,$H423)))</f>
        <v/>
      </c>
      <c r="G423" s="40" t="str">
        <f aca="false">IF($H423="","",INDEX(Задачи!$I$1:$I$501,$H423)&amp;"")</f>
        <v/>
      </c>
      <c r="H423" s="20" t="str">
        <f aca="false">IFERROR(MOD(LARGE(Задачи!$P$2:$P$501,ROWS(H$5:H423)),1000),"")</f>
        <v/>
      </c>
    </row>
    <row r="424" customFormat="false" ht="30" hidden="false" customHeight="true" outlineLevel="0" collapsed="false">
      <c r="A424" s="39" t="str">
        <f aca="false">IF($H424="","",ROWS(A$5:A424))</f>
        <v/>
      </c>
      <c r="B424" s="40" t="str">
        <f aca="false">IF($H424="","",INDEX(Задачи!$A$1:$A$501,$H424)&amp;"")</f>
        <v/>
      </c>
      <c r="C424" s="40" t="str">
        <f aca="false">IF($H424="","",INDEX(Задачи!$B$1:$B$501,$H424)&amp;"")</f>
        <v/>
      </c>
      <c r="D424" s="39" t="str">
        <f aca="false">IF($H424="","",INDEX(Задачи!$C$1:$C$501,$H424)&amp;"")</f>
        <v/>
      </c>
      <c r="E424" s="41" t="str">
        <f aca="false">IF($H424="","",IF(INDEX(Задачи!$E$1:$E$501,$H424)="","",INDEX(Задачи!$E$1:$E$501,$H424)))</f>
        <v/>
      </c>
      <c r="F424" s="41" t="str">
        <f aca="false">IF($H424="","",IF(INDEX(Задачи!$F$1:$F$501,$H424)="","",INDEX(Задачи!$F$1:$F$501,$H424)))</f>
        <v/>
      </c>
      <c r="G424" s="40" t="str">
        <f aca="false">IF($H424="","",INDEX(Задачи!$I$1:$I$501,$H424)&amp;"")</f>
        <v/>
      </c>
      <c r="H424" s="20" t="str">
        <f aca="false">IFERROR(MOD(LARGE(Задачи!$P$2:$P$501,ROWS(H$5:H424)),1000),"")</f>
        <v/>
      </c>
    </row>
    <row r="425" customFormat="false" ht="30" hidden="false" customHeight="true" outlineLevel="0" collapsed="false">
      <c r="A425" s="39" t="str">
        <f aca="false">IF($H425="","",ROWS(A$5:A425))</f>
        <v/>
      </c>
      <c r="B425" s="40" t="str">
        <f aca="false">IF($H425="","",INDEX(Задачи!$A$1:$A$501,$H425)&amp;"")</f>
        <v/>
      </c>
      <c r="C425" s="40" t="str">
        <f aca="false">IF($H425="","",INDEX(Задачи!$B$1:$B$501,$H425)&amp;"")</f>
        <v/>
      </c>
      <c r="D425" s="39" t="str">
        <f aca="false">IF($H425="","",INDEX(Задачи!$C$1:$C$501,$H425)&amp;"")</f>
        <v/>
      </c>
      <c r="E425" s="41" t="str">
        <f aca="false">IF($H425="","",IF(INDEX(Задачи!$E$1:$E$501,$H425)="","",INDEX(Задачи!$E$1:$E$501,$H425)))</f>
        <v/>
      </c>
      <c r="F425" s="41" t="str">
        <f aca="false">IF($H425="","",IF(INDEX(Задачи!$F$1:$F$501,$H425)="","",INDEX(Задачи!$F$1:$F$501,$H425)))</f>
        <v/>
      </c>
      <c r="G425" s="40" t="str">
        <f aca="false">IF($H425="","",INDEX(Задачи!$I$1:$I$501,$H425)&amp;"")</f>
        <v/>
      </c>
      <c r="H425" s="20" t="str">
        <f aca="false">IFERROR(MOD(LARGE(Задачи!$P$2:$P$501,ROWS(H$5:H425)),1000),"")</f>
        <v/>
      </c>
    </row>
    <row r="426" customFormat="false" ht="30" hidden="false" customHeight="true" outlineLevel="0" collapsed="false">
      <c r="A426" s="39" t="str">
        <f aca="false">IF($H426="","",ROWS(A$5:A426))</f>
        <v/>
      </c>
      <c r="B426" s="40" t="str">
        <f aca="false">IF($H426="","",INDEX(Задачи!$A$1:$A$501,$H426)&amp;"")</f>
        <v/>
      </c>
      <c r="C426" s="40" t="str">
        <f aca="false">IF($H426="","",INDEX(Задачи!$B$1:$B$501,$H426)&amp;"")</f>
        <v/>
      </c>
      <c r="D426" s="39" t="str">
        <f aca="false">IF($H426="","",INDEX(Задачи!$C$1:$C$501,$H426)&amp;"")</f>
        <v/>
      </c>
      <c r="E426" s="41" t="str">
        <f aca="false">IF($H426="","",IF(INDEX(Задачи!$E$1:$E$501,$H426)="","",INDEX(Задачи!$E$1:$E$501,$H426)))</f>
        <v/>
      </c>
      <c r="F426" s="41" t="str">
        <f aca="false">IF($H426="","",IF(INDEX(Задачи!$F$1:$F$501,$H426)="","",INDEX(Задачи!$F$1:$F$501,$H426)))</f>
        <v/>
      </c>
      <c r="G426" s="40" t="str">
        <f aca="false">IF($H426="","",INDEX(Задачи!$I$1:$I$501,$H426)&amp;"")</f>
        <v/>
      </c>
      <c r="H426" s="20" t="str">
        <f aca="false">IFERROR(MOD(LARGE(Задачи!$P$2:$P$501,ROWS(H$5:H426)),1000),"")</f>
        <v/>
      </c>
    </row>
    <row r="427" customFormat="false" ht="30" hidden="false" customHeight="true" outlineLevel="0" collapsed="false">
      <c r="A427" s="39" t="str">
        <f aca="false">IF($H427="","",ROWS(A$5:A427))</f>
        <v/>
      </c>
      <c r="B427" s="40" t="str">
        <f aca="false">IF($H427="","",INDEX(Задачи!$A$1:$A$501,$H427)&amp;"")</f>
        <v/>
      </c>
      <c r="C427" s="40" t="str">
        <f aca="false">IF($H427="","",INDEX(Задачи!$B$1:$B$501,$H427)&amp;"")</f>
        <v/>
      </c>
      <c r="D427" s="39" t="str">
        <f aca="false">IF($H427="","",INDEX(Задачи!$C$1:$C$501,$H427)&amp;"")</f>
        <v/>
      </c>
      <c r="E427" s="41" t="str">
        <f aca="false">IF($H427="","",IF(INDEX(Задачи!$E$1:$E$501,$H427)="","",INDEX(Задачи!$E$1:$E$501,$H427)))</f>
        <v/>
      </c>
      <c r="F427" s="41" t="str">
        <f aca="false">IF($H427="","",IF(INDEX(Задачи!$F$1:$F$501,$H427)="","",INDEX(Задачи!$F$1:$F$501,$H427)))</f>
        <v/>
      </c>
      <c r="G427" s="40" t="str">
        <f aca="false">IF($H427="","",INDEX(Задачи!$I$1:$I$501,$H427)&amp;"")</f>
        <v/>
      </c>
      <c r="H427" s="20" t="str">
        <f aca="false">IFERROR(MOD(LARGE(Задачи!$P$2:$P$501,ROWS(H$5:H427)),1000),"")</f>
        <v/>
      </c>
    </row>
    <row r="428" customFormat="false" ht="30" hidden="false" customHeight="true" outlineLevel="0" collapsed="false">
      <c r="A428" s="39" t="str">
        <f aca="false">IF($H428="","",ROWS(A$5:A428))</f>
        <v/>
      </c>
      <c r="B428" s="40" t="str">
        <f aca="false">IF($H428="","",INDEX(Задачи!$A$1:$A$501,$H428)&amp;"")</f>
        <v/>
      </c>
      <c r="C428" s="40" t="str">
        <f aca="false">IF($H428="","",INDEX(Задачи!$B$1:$B$501,$H428)&amp;"")</f>
        <v/>
      </c>
      <c r="D428" s="39" t="str">
        <f aca="false">IF($H428="","",INDEX(Задачи!$C$1:$C$501,$H428)&amp;"")</f>
        <v/>
      </c>
      <c r="E428" s="41" t="str">
        <f aca="false">IF($H428="","",IF(INDEX(Задачи!$E$1:$E$501,$H428)="","",INDEX(Задачи!$E$1:$E$501,$H428)))</f>
        <v/>
      </c>
      <c r="F428" s="41" t="str">
        <f aca="false">IF($H428="","",IF(INDEX(Задачи!$F$1:$F$501,$H428)="","",INDEX(Задачи!$F$1:$F$501,$H428)))</f>
        <v/>
      </c>
      <c r="G428" s="40" t="str">
        <f aca="false">IF($H428="","",INDEX(Задачи!$I$1:$I$501,$H428)&amp;"")</f>
        <v/>
      </c>
      <c r="H428" s="20" t="str">
        <f aca="false">IFERROR(MOD(LARGE(Задачи!$P$2:$P$501,ROWS(H$5:H428)),1000),"")</f>
        <v/>
      </c>
    </row>
    <row r="429" customFormat="false" ht="30" hidden="false" customHeight="true" outlineLevel="0" collapsed="false">
      <c r="A429" s="39" t="str">
        <f aca="false">IF($H429="","",ROWS(A$5:A429))</f>
        <v/>
      </c>
      <c r="B429" s="40" t="str">
        <f aca="false">IF($H429="","",INDEX(Задачи!$A$1:$A$501,$H429)&amp;"")</f>
        <v/>
      </c>
      <c r="C429" s="40" t="str">
        <f aca="false">IF($H429="","",INDEX(Задачи!$B$1:$B$501,$H429)&amp;"")</f>
        <v/>
      </c>
      <c r="D429" s="39" t="str">
        <f aca="false">IF($H429="","",INDEX(Задачи!$C$1:$C$501,$H429)&amp;"")</f>
        <v/>
      </c>
      <c r="E429" s="41" t="str">
        <f aca="false">IF($H429="","",IF(INDEX(Задачи!$E$1:$E$501,$H429)="","",INDEX(Задачи!$E$1:$E$501,$H429)))</f>
        <v/>
      </c>
      <c r="F429" s="41" t="str">
        <f aca="false">IF($H429="","",IF(INDEX(Задачи!$F$1:$F$501,$H429)="","",INDEX(Задачи!$F$1:$F$501,$H429)))</f>
        <v/>
      </c>
      <c r="G429" s="40" t="str">
        <f aca="false">IF($H429="","",INDEX(Задачи!$I$1:$I$501,$H429)&amp;"")</f>
        <v/>
      </c>
      <c r="H429" s="20" t="str">
        <f aca="false">IFERROR(MOD(LARGE(Задачи!$P$2:$P$501,ROWS(H$5:H429)),1000),"")</f>
        <v/>
      </c>
    </row>
    <row r="430" customFormat="false" ht="30" hidden="false" customHeight="true" outlineLevel="0" collapsed="false">
      <c r="A430" s="39" t="str">
        <f aca="false">IF($H430="","",ROWS(A$5:A430))</f>
        <v/>
      </c>
      <c r="B430" s="40" t="str">
        <f aca="false">IF($H430="","",INDEX(Задачи!$A$1:$A$501,$H430)&amp;"")</f>
        <v/>
      </c>
      <c r="C430" s="40" t="str">
        <f aca="false">IF($H430="","",INDEX(Задачи!$B$1:$B$501,$H430)&amp;"")</f>
        <v/>
      </c>
      <c r="D430" s="39" t="str">
        <f aca="false">IF($H430="","",INDEX(Задачи!$C$1:$C$501,$H430)&amp;"")</f>
        <v/>
      </c>
      <c r="E430" s="41" t="str">
        <f aca="false">IF($H430="","",IF(INDEX(Задачи!$E$1:$E$501,$H430)="","",INDEX(Задачи!$E$1:$E$501,$H430)))</f>
        <v/>
      </c>
      <c r="F430" s="41" t="str">
        <f aca="false">IF($H430="","",IF(INDEX(Задачи!$F$1:$F$501,$H430)="","",INDEX(Задачи!$F$1:$F$501,$H430)))</f>
        <v/>
      </c>
      <c r="G430" s="40" t="str">
        <f aca="false">IF($H430="","",INDEX(Задачи!$I$1:$I$501,$H430)&amp;"")</f>
        <v/>
      </c>
      <c r="H430" s="20" t="str">
        <f aca="false">IFERROR(MOD(LARGE(Задачи!$P$2:$P$501,ROWS(H$5:H430)),1000),"")</f>
        <v/>
      </c>
    </row>
    <row r="431" customFormat="false" ht="30" hidden="false" customHeight="true" outlineLevel="0" collapsed="false">
      <c r="A431" s="39" t="str">
        <f aca="false">IF($H431="","",ROWS(A$5:A431))</f>
        <v/>
      </c>
      <c r="B431" s="40" t="str">
        <f aca="false">IF($H431="","",INDEX(Задачи!$A$1:$A$501,$H431)&amp;"")</f>
        <v/>
      </c>
      <c r="C431" s="40" t="str">
        <f aca="false">IF($H431="","",INDEX(Задачи!$B$1:$B$501,$H431)&amp;"")</f>
        <v/>
      </c>
      <c r="D431" s="39" t="str">
        <f aca="false">IF($H431="","",INDEX(Задачи!$C$1:$C$501,$H431)&amp;"")</f>
        <v/>
      </c>
      <c r="E431" s="41" t="str">
        <f aca="false">IF($H431="","",IF(INDEX(Задачи!$E$1:$E$501,$H431)="","",INDEX(Задачи!$E$1:$E$501,$H431)))</f>
        <v/>
      </c>
      <c r="F431" s="41" t="str">
        <f aca="false">IF($H431="","",IF(INDEX(Задачи!$F$1:$F$501,$H431)="","",INDEX(Задачи!$F$1:$F$501,$H431)))</f>
        <v/>
      </c>
      <c r="G431" s="40" t="str">
        <f aca="false">IF($H431="","",INDEX(Задачи!$I$1:$I$501,$H431)&amp;"")</f>
        <v/>
      </c>
      <c r="H431" s="20" t="str">
        <f aca="false">IFERROR(MOD(LARGE(Задачи!$P$2:$P$501,ROWS(H$5:H431)),1000),"")</f>
        <v/>
      </c>
    </row>
    <row r="432" customFormat="false" ht="30" hidden="false" customHeight="true" outlineLevel="0" collapsed="false">
      <c r="A432" s="39" t="str">
        <f aca="false">IF($H432="","",ROWS(A$5:A432))</f>
        <v/>
      </c>
      <c r="B432" s="40" t="str">
        <f aca="false">IF($H432="","",INDEX(Задачи!$A$1:$A$501,$H432)&amp;"")</f>
        <v/>
      </c>
      <c r="C432" s="40" t="str">
        <f aca="false">IF($H432="","",INDEX(Задачи!$B$1:$B$501,$H432)&amp;"")</f>
        <v/>
      </c>
      <c r="D432" s="39" t="str">
        <f aca="false">IF($H432="","",INDEX(Задачи!$C$1:$C$501,$H432)&amp;"")</f>
        <v/>
      </c>
      <c r="E432" s="41" t="str">
        <f aca="false">IF($H432="","",IF(INDEX(Задачи!$E$1:$E$501,$H432)="","",INDEX(Задачи!$E$1:$E$501,$H432)))</f>
        <v/>
      </c>
      <c r="F432" s="41" t="str">
        <f aca="false">IF($H432="","",IF(INDEX(Задачи!$F$1:$F$501,$H432)="","",INDEX(Задачи!$F$1:$F$501,$H432)))</f>
        <v/>
      </c>
      <c r="G432" s="40" t="str">
        <f aca="false">IF($H432="","",INDEX(Задачи!$I$1:$I$501,$H432)&amp;"")</f>
        <v/>
      </c>
      <c r="H432" s="20" t="str">
        <f aca="false">IFERROR(MOD(LARGE(Задачи!$P$2:$P$501,ROWS(H$5:H432)),1000),"")</f>
        <v/>
      </c>
    </row>
    <row r="433" customFormat="false" ht="30" hidden="false" customHeight="true" outlineLevel="0" collapsed="false">
      <c r="A433" s="39" t="str">
        <f aca="false">IF($H433="","",ROWS(A$5:A433))</f>
        <v/>
      </c>
      <c r="B433" s="40" t="str">
        <f aca="false">IF($H433="","",INDEX(Задачи!$A$1:$A$501,$H433)&amp;"")</f>
        <v/>
      </c>
      <c r="C433" s="40" t="str">
        <f aca="false">IF($H433="","",INDEX(Задачи!$B$1:$B$501,$H433)&amp;"")</f>
        <v/>
      </c>
      <c r="D433" s="39" t="str">
        <f aca="false">IF($H433="","",INDEX(Задачи!$C$1:$C$501,$H433)&amp;"")</f>
        <v/>
      </c>
      <c r="E433" s="41" t="str">
        <f aca="false">IF($H433="","",IF(INDEX(Задачи!$E$1:$E$501,$H433)="","",INDEX(Задачи!$E$1:$E$501,$H433)))</f>
        <v/>
      </c>
      <c r="F433" s="41" t="str">
        <f aca="false">IF($H433="","",IF(INDEX(Задачи!$F$1:$F$501,$H433)="","",INDEX(Задачи!$F$1:$F$501,$H433)))</f>
        <v/>
      </c>
      <c r="G433" s="40" t="str">
        <f aca="false">IF($H433="","",INDEX(Задачи!$I$1:$I$501,$H433)&amp;"")</f>
        <v/>
      </c>
      <c r="H433" s="20" t="str">
        <f aca="false">IFERROR(MOD(LARGE(Задачи!$P$2:$P$501,ROWS(H$5:H433)),1000),"")</f>
        <v/>
      </c>
    </row>
    <row r="434" customFormat="false" ht="30" hidden="false" customHeight="true" outlineLevel="0" collapsed="false">
      <c r="A434" s="39" t="str">
        <f aca="false">IF($H434="","",ROWS(A$5:A434))</f>
        <v/>
      </c>
      <c r="B434" s="40" t="str">
        <f aca="false">IF($H434="","",INDEX(Задачи!$A$1:$A$501,$H434)&amp;"")</f>
        <v/>
      </c>
      <c r="C434" s="40" t="str">
        <f aca="false">IF($H434="","",INDEX(Задачи!$B$1:$B$501,$H434)&amp;"")</f>
        <v/>
      </c>
      <c r="D434" s="39" t="str">
        <f aca="false">IF($H434="","",INDEX(Задачи!$C$1:$C$501,$H434)&amp;"")</f>
        <v/>
      </c>
      <c r="E434" s="41" t="str">
        <f aca="false">IF($H434="","",IF(INDEX(Задачи!$E$1:$E$501,$H434)="","",INDEX(Задачи!$E$1:$E$501,$H434)))</f>
        <v/>
      </c>
      <c r="F434" s="41" t="str">
        <f aca="false">IF($H434="","",IF(INDEX(Задачи!$F$1:$F$501,$H434)="","",INDEX(Задачи!$F$1:$F$501,$H434)))</f>
        <v/>
      </c>
      <c r="G434" s="40" t="str">
        <f aca="false">IF($H434="","",INDEX(Задачи!$I$1:$I$501,$H434)&amp;"")</f>
        <v/>
      </c>
      <c r="H434" s="20" t="str">
        <f aca="false">IFERROR(MOD(LARGE(Задачи!$P$2:$P$501,ROWS(H$5:H434)),1000),"")</f>
        <v/>
      </c>
    </row>
    <row r="435" customFormat="false" ht="30" hidden="false" customHeight="true" outlineLevel="0" collapsed="false">
      <c r="A435" s="39" t="str">
        <f aca="false">IF($H435="","",ROWS(A$5:A435))</f>
        <v/>
      </c>
      <c r="B435" s="40" t="str">
        <f aca="false">IF($H435="","",INDEX(Задачи!$A$1:$A$501,$H435)&amp;"")</f>
        <v/>
      </c>
      <c r="C435" s="40" t="str">
        <f aca="false">IF($H435="","",INDEX(Задачи!$B$1:$B$501,$H435)&amp;"")</f>
        <v/>
      </c>
      <c r="D435" s="39" t="str">
        <f aca="false">IF($H435="","",INDEX(Задачи!$C$1:$C$501,$H435)&amp;"")</f>
        <v/>
      </c>
      <c r="E435" s="41" t="str">
        <f aca="false">IF($H435="","",IF(INDEX(Задачи!$E$1:$E$501,$H435)="","",INDEX(Задачи!$E$1:$E$501,$H435)))</f>
        <v/>
      </c>
      <c r="F435" s="41" t="str">
        <f aca="false">IF($H435="","",IF(INDEX(Задачи!$F$1:$F$501,$H435)="","",INDEX(Задачи!$F$1:$F$501,$H435)))</f>
        <v/>
      </c>
      <c r="G435" s="40" t="str">
        <f aca="false">IF($H435="","",INDEX(Задачи!$I$1:$I$501,$H435)&amp;"")</f>
        <v/>
      </c>
      <c r="H435" s="20" t="str">
        <f aca="false">IFERROR(MOD(LARGE(Задачи!$P$2:$P$501,ROWS(H$5:H435)),1000),"")</f>
        <v/>
      </c>
    </row>
    <row r="436" customFormat="false" ht="30" hidden="false" customHeight="true" outlineLevel="0" collapsed="false">
      <c r="A436" s="39" t="str">
        <f aca="false">IF($H436="","",ROWS(A$5:A436))</f>
        <v/>
      </c>
      <c r="B436" s="40" t="str">
        <f aca="false">IF($H436="","",INDEX(Задачи!$A$1:$A$501,$H436)&amp;"")</f>
        <v/>
      </c>
      <c r="C436" s="40" t="str">
        <f aca="false">IF($H436="","",INDEX(Задачи!$B$1:$B$501,$H436)&amp;"")</f>
        <v/>
      </c>
      <c r="D436" s="39" t="str">
        <f aca="false">IF($H436="","",INDEX(Задачи!$C$1:$C$501,$H436)&amp;"")</f>
        <v/>
      </c>
      <c r="E436" s="41" t="str">
        <f aca="false">IF($H436="","",IF(INDEX(Задачи!$E$1:$E$501,$H436)="","",INDEX(Задачи!$E$1:$E$501,$H436)))</f>
        <v/>
      </c>
      <c r="F436" s="41" t="str">
        <f aca="false">IF($H436="","",IF(INDEX(Задачи!$F$1:$F$501,$H436)="","",INDEX(Задачи!$F$1:$F$501,$H436)))</f>
        <v/>
      </c>
      <c r="G436" s="40" t="str">
        <f aca="false">IF($H436="","",INDEX(Задачи!$I$1:$I$501,$H436)&amp;"")</f>
        <v/>
      </c>
      <c r="H436" s="20" t="str">
        <f aca="false">IFERROR(MOD(LARGE(Задачи!$P$2:$P$501,ROWS(H$5:H436)),1000),"")</f>
        <v/>
      </c>
    </row>
    <row r="437" customFormat="false" ht="30" hidden="false" customHeight="true" outlineLevel="0" collapsed="false">
      <c r="A437" s="39" t="str">
        <f aca="false">IF($H437="","",ROWS(A$5:A437))</f>
        <v/>
      </c>
      <c r="B437" s="40" t="str">
        <f aca="false">IF($H437="","",INDEX(Задачи!$A$1:$A$501,$H437)&amp;"")</f>
        <v/>
      </c>
      <c r="C437" s="40" t="str">
        <f aca="false">IF($H437="","",INDEX(Задачи!$B$1:$B$501,$H437)&amp;"")</f>
        <v/>
      </c>
      <c r="D437" s="39" t="str">
        <f aca="false">IF($H437="","",INDEX(Задачи!$C$1:$C$501,$H437)&amp;"")</f>
        <v/>
      </c>
      <c r="E437" s="41" t="str">
        <f aca="false">IF($H437="","",IF(INDEX(Задачи!$E$1:$E$501,$H437)="","",INDEX(Задачи!$E$1:$E$501,$H437)))</f>
        <v/>
      </c>
      <c r="F437" s="41" t="str">
        <f aca="false">IF($H437="","",IF(INDEX(Задачи!$F$1:$F$501,$H437)="","",INDEX(Задачи!$F$1:$F$501,$H437)))</f>
        <v/>
      </c>
      <c r="G437" s="40" t="str">
        <f aca="false">IF($H437="","",INDEX(Задачи!$I$1:$I$501,$H437)&amp;"")</f>
        <v/>
      </c>
      <c r="H437" s="20" t="str">
        <f aca="false">IFERROR(MOD(LARGE(Задачи!$P$2:$P$501,ROWS(H$5:H437)),1000),"")</f>
        <v/>
      </c>
    </row>
    <row r="438" customFormat="false" ht="30" hidden="false" customHeight="true" outlineLevel="0" collapsed="false">
      <c r="A438" s="39" t="str">
        <f aca="false">IF($H438="","",ROWS(A$5:A438))</f>
        <v/>
      </c>
      <c r="B438" s="40" t="str">
        <f aca="false">IF($H438="","",INDEX(Задачи!$A$1:$A$501,$H438)&amp;"")</f>
        <v/>
      </c>
      <c r="C438" s="40" t="str">
        <f aca="false">IF($H438="","",INDEX(Задачи!$B$1:$B$501,$H438)&amp;"")</f>
        <v/>
      </c>
      <c r="D438" s="39" t="str">
        <f aca="false">IF($H438="","",INDEX(Задачи!$C$1:$C$501,$H438)&amp;"")</f>
        <v/>
      </c>
      <c r="E438" s="41" t="str">
        <f aca="false">IF($H438="","",IF(INDEX(Задачи!$E$1:$E$501,$H438)="","",INDEX(Задачи!$E$1:$E$501,$H438)))</f>
        <v/>
      </c>
      <c r="F438" s="41" t="str">
        <f aca="false">IF($H438="","",IF(INDEX(Задачи!$F$1:$F$501,$H438)="","",INDEX(Задачи!$F$1:$F$501,$H438)))</f>
        <v/>
      </c>
      <c r="G438" s="40" t="str">
        <f aca="false">IF($H438="","",INDEX(Задачи!$I$1:$I$501,$H438)&amp;"")</f>
        <v/>
      </c>
      <c r="H438" s="20" t="str">
        <f aca="false">IFERROR(MOD(LARGE(Задачи!$P$2:$P$501,ROWS(H$5:H438)),1000),"")</f>
        <v/>
      </c>
    </row>
    <row r="439" customFormat="false" ht="30" hidden="false" customHeight="true" outlineLevel="0" collapsed="false">
      <c r="A439" s="39" t="str">
        <f aca="false">IF($H439="","",ROWS(A$5:A439))</f>
        <v/>
      </c>
      <c r="B439" s="40" t="str">
        <f aca="false">IF($H439="","",INDEX(Задачи!$A$1:$A$501,$H439)&amp;"")</f>
        <v/>
      </c>
      <c r="C439" s="40" t="str">
        <f aca="false">IF($H439="","",INDEX(Задачи!$B$1:$B$501,$H439)&amp;"")</f>
        <v/>
      </c>
      <c r="D439" s="39" t="str">
        <f aca="false">IF($H439="","",INDEX(Задачи!$C$1:$C$501,$H439)&amp;"")</f>
        <v/>
      </c>
      <c r="E439" s="41" t="str">
        <f aca="false">IF($H439="","",IF(INDEX(Задачи!$E$1:$E$501,$H439)="","",INDEX(Задачи!$E$1:$E$501,$H439)))</f>
        <v/>
      </c>
      <c r="F439" s="41" t="str">
        <f aca="false">IF($H439="","",IF(INDEX(Задачи!$F$1:$F$501,$H439)="","",INDEX(Задачи!$F$1:$F$501,$H439)))</f>
        <v/>
      </c>
      <c r="G439" s="40" t="str">
        <f aca="false">IF($H439="","",INDEX(Задачи!$I$1:$I$501,$H439)&amp;"")</f>
        <v/>
      </c>
      <c r="H439" s="20" t="str">
        <f aca="false">IFERROR(MOD(LARGE(Задачи!$P$2:$P$501,ROWS(H$5:H439)),1000),"")</f>
        <v/>
      </c>
    </row>
    <row r="440" customFormat="false" ht="30" hidden="false" customHeight="true" outlineLevel="0" collapsed="false">
      <c r="A440" s="39" t="str">
        <f aca="false">IF($H440="","",ROWS(A$5:A440))</f>
        <v/>
      </c>
      <c r="B440" s="40" t="str">
        <f aca="false">IF($H440="","",INDEX(Задачи!$A$1:$A$501,$H440)&amp;"")</f>
        <v/>
      </c>
      <c r="C440" s="40" t="str">
        <f aca="false">IF($H440="","",INDEX(Задачи!$B$1:$B$501,$H440)&amp;"")</f>
        <v/>
      </c>
      <c r="D440" s="39" t="str">
        <f aca="false">IF($H440="","",INDEX(Задачи!$C$1:$C$501,$H440)&amp;"")</f>
        <v/>
      </c>
      <c r="E440" s="41" t="str">
        <f aca="false">IF($H440="","",IF(INDEX(Задачи!$E$1:$E$501,$H440)="","",INDEX(Задачи!$E$1:$E$501,$H440)))</f>
        <v/>
      </c>
      <c r="F440" s="41" t="str">
        <f aca="false">IF($H440="","",IF(INDEX(Задачи!$F$1:$F$501,$H440)="","",INDEX(Задачи!$F$1:$F$501,$H440)))</f>
        <v/>
      </c>
      <c r="G440" s="40" t="str">
        <f aca="false">IF($H440="","",INDEX(Задачи!$I$1:$I$501,$H440)&amp;"")</f>
        <v/>
      </c>
      <c r="H440" s="20" t="str">
        <f aca="false">IFERROR(MOD(LARGE(Задачи!$P$2:$P$501,ROWS(H$5:H440)),1000),"")</f>
        <v/>
      </c>
    </row>
    <row r="441" customFormat="false" ht="30" hidden="false" customHeight="true" outlineLevel="0" collapsed="false">
      <c r="A441" s="39" t="str">
        <f aca="false">IF($H441="","",ROWS(A$5:A441))</f>
        <v/>
      </c>
      <c r="B441" s="40" t="str">
        <f aca="false">IF($H441="","",INDEX(Задачи!$A$1:$A$501,$H441)&amp;"")</f>
        <v/>
      </c>
      <c r="C441" s="40" t="str">
        <f aca="false">IF($H441="","",INDEX(Задачи!$B$1:$B$501,$H441)&amp;"")</f>
        <v/>
      </c>
      <c r="D441" s="39" t="str">
        <f aca="false">IF($H441="","",INDEX(Задачи!$C$1:$C$501,$H441)&amp;"")</f>
        <v/>
      </c>
      <c r="E441" s="41" t="str">
        <f aca="false">IF($H441="","",IF(INDEX(Задачи!$E$1:$E$501,$H441)="","",INDEX(Задачи!$E$1:$E$501,$H441)))</f>
        <v/>
      </c>
      <c r="F441" s="41" t="str">
        <f aca="false">IF($H441="","",IF(INDEX(Задачи!$F$1:$F$501,$H441)="","",INDEX(Задачи!$F$1:$F$501,$H441)))</f>
        <v/>
      </c>
      <c r="G441" s="40" t="str">
        <f aca="false">IF($H441="","",INDEX(Задачи!$I$1:$I$501,$H441)&amp;"")</f>
        <v/>
      </c>
      <c r="H441" s="20" t="str">
        <f aca="false">IFERROR(MOD(LARGE(Задачи!$P$2:$P$501,ROWS(H$5:H441)),1000),"")</f>
        <v/>
      </c>
    </row>
    <row r="442" customFormat="false" ht="30" hidden="false" customHeight="true" outlineLevel="0" collapsed="false">
      <c r="A442" s="39" t="str">
        <f aca="false">IF($H442="","",ROWS(A$5:A442))</f>
        <v/>
      </c>
      <c r="B442" s="40" t="str">
        <f aca="false">IF($H442="","",INDEX(Задачи!$A$1:$A$501,$H442)&amp;"")</f>
        <v/>
      </c>
      <c r="C442" s="40" t="str">
        <f aca="false">IF($H442="","",INDEX(Задачи!$B$1:$B$501,$H442)&amp;"")</f>
        <v/>
      </c>
      <c r="D442" s="39" t="str">
        <f aca="false">IF($H442="","",INDEX(Задачи!$C$1:$C$501,$H442)&amp;"")</f>
        <v/>
      </c>
      <c r="E442" s="41" t="str">
        <f aca="false">IF($H442="","",IF(INDEX(Задачи!$E$1:$E$501,$H442)="","",INDEX(Задачи!$E$1:$E$501,$H442)))</f>
        <v/>
      </c>
      <c r="F442" s="41" t="str">
        <f aca="false">IF($H442="","",IF(INDEX(Задачи!$F$1:$F$501,$H442)="","",INDEX(Задачи!$F$1:$F$501,$H442)))</f>
        <v/>
      </c>
      <c r="G442" s="40" t="str">
        <f aca="false">IF($H442="","",INDEX(Задачи!$I$1:$I$501,$H442)&amp;"")</f>
        <v/>
      </c>
      <c r="H442" s="20" t="str">
        <f aca="false">IFERROR(MOD(LARGE(Задачи!$P$2:$P$501,ROWS(H$5:H442)),1000),"")</f>
        <v/>
      </c>
    </row>
    <row r="443" customFormat="false" ht="30" hidden="false" customHeight="true" outlineLevel="0" collapsed="false">
      <c r="A443" s="39" t="str">
        <f aca="false">IF($H443="","",ROWS(A$5:A443))</f>
        <v/>
      </c>
      <c r="B443" s="40" t="str">
        <f aca="false">IF($H443="","",INDEX(Задачи!$A$1:$A$501,$H443)&amp;"")</f>
        <v/>
      </c>
      <c r="C443" s="40" t="str">
        <f aca="false">IF($H443="","",INDEX(Задачи!$B$1:$B$501,$H443)&amp;"")</f>
        <v/>
      </c>
      <c r="D443" s="39" t="str">
        <f aca="false">IF($H443="","",INDEX(Задачи!$C$1:$C$501,$H443)&amp;"")</f>
        <v/>
      </c>
      <c r="E443" s="41" t="str">
        <f aca="false">IF($H443="","",IF(INDEX(Задачи!$E$1:$E$501,$H443)="","",INDEX(Задачи!$E$1:$E$501,$H443)))</f>
        <v/>
      </c>
      <c r="F443" s="41" t="str">
        <f aca="false">IF($H443="","",IF(INDEX(Задачи!$F$1:$F$501,$H443)="","",INDEX(Задачи!$F$1:$F$501,$H443)))</f>
        <v/>
      </c>
      <c r="G443" s="40" t="str">
        <f aca="false">IF($H443="","",INDEX(Задачи!$I$1:$I$501,$H443)&amp;"")</f>
        <v/>
      </c>
      <c r="H443" s="20" t="str">
        <f aca="false">IFERROR(MOD(LARGE(Задачи!$P$2:$P$501,ROWS(H$5:H443)),1000),"")</f>
        <v/>
      </c>
    </row>
    <row r="444" customFormat="false" ht="30" hidden="false" customHeight="true" outlineLevel="0" collapsed="false">
      <c r="A444" s="39" t="str">
        <f aca="false">IF($H444="","",ROWS(A$5:A444))</f>
        <v/>
      </c>
      <c r="B444" s="40" t="str">
        <f aca="false">IF($H444="","",INDEX(Задачи!$A$1:$A$501,$H444)&amp;"")</f>
        <v/>
      </c>
      <c r="C444" s="40" t="str">
        <f aca="false">IF($H444="","",INDEX(Задачи!$B$1:$B$501,$H444)&amp;"")</f>
        <v/>
      </c>
      <c r="D444" s="39" t="str">
        <f aca="false">IF($H444="","",INDEX(Задачи!$C$1:$C$501,$H444)&amp;"")</f>
        <v/>
      </c>
      <c r="E444" s="41" t="str">
        <f aca="false">IF($H444="","",IF(INDEX(Задачи!$E$1:$E$501,$H444)="","",INDEX(Задачи!$E$1:$E$501,$H444)))</f>
        <v/>
      </c>
      <c r="F444" s="41" t="str">
        <f aca="false">IF($H444="","",IF(INDEX(Задачи!$F$1:$F$501,$H444)="","",INDEX(Задачи!$F$1:$F$501,$H444)))</f>
        <v/>
      </c>
      <c r="G444" s="40" t="str">
        <f aca="false">IF($H444="","",INDEX(Задачи!$I$1:$I$501,$H444)&amp;"")</f>
        <v/>
      </c>
      <c r="H444" s="20" t="str">
        <f aca="false">IFERROR(MOD(LARGE(Задачи!$P$2:$P$501,ROWS(H$5:H444)),1000),"")</f>
        <v/>
      </c>
    </row>
    <row r="445" customFormat="false" ht="30" hidden="false" customHeight="true" outlineLevel="0" collapsed="false">
      <c r="A445" s="39" t="str">
        <f aca="false">IF($H445="","",ROWS(A$5:A445))</f>
        <v/>
      </c>
      <c r="B445" s="40" t="str">
        <f aca="false">IF($H445="","",INDEX(Задачи!$A$1:$A$501,$H445)&amp;"")</f>
        <v/>
      </c>
      <c r="C445" s="40" t="str">
        <f aca="false">IF($H445="","",INDEX(Задачи!$B$1:$B$501,$H445)&amp;"")</f>
        <v/>
      </c>
      <c r="D445" s="39" t="str">
        <f aca="false">IF($H445="","",INDEX(Задачи!$C$1:$C$501,$H445)&amp;"")</f>
        <v/>
      </c>
      <c r="E445" s="41" t="str">
        <f aca="false">IF($H445="","",IF(INDEX(Задачи!$E$1:$E$501,$H445)="","",INDEX(Задачи!$E$1:$E$501,$H445)))</f>
        <v/>
      </c>
      <c r="F445" s="41" t="str">
        <f aca="false">IF($H445="","",IF(INDEX(Задачи!$F$1:$F$501,$H445)="","",INDEX(Задачи!$F$1:$F$501,$H445)))</f>
        <v/>
      </c>
      <c r="G445" s="40" t="str">
        <f aca="false">IF($H445="","",INDEX(Задачи!$I$1:$I$501,$H445)&amp;"")</f>
        <v/>
      </c>
      <c r="H445" s="20" t="str">
        <f aca="false">IFERROR(MOD(LARGE(Задачи!$P$2:$P$501,ROWS(H$5:H445)),1000),"")</f>
        <v/>
      </c>
    </row>
    <row r="446" customFormat="false" ht="30" hidden="false" customHeight="true" outlineLevel="0" collapsed="false">
      <c r="A446" s="39" t="str">
        <f aca="false">IF($H446="","",ROWS(A$5:A446))</f>
        <v/>
      </c>
      <c r="B446" s="40" t="str">
        <f aca="false">IF($H446="","",INDEX(Задачи!$A$1:$A$501,$H446)&amp;"")</f>
        <v/>
      </c>
      <c r="C446" s="40" t="str">
        <f aca="false">IF($H446="","",INDEX(Задачи!$B$1:$B$501,$H446)&amp;"")</f>
        <v/>
      </c>
      <c r="D446" s="39" t="str">
        <f aca="false">IF($H446="","",INDEX(Задачи!$C$1:$C$501,$H446)&amp;"")</f>
        <v/>
      </c>
      <c r="E446" s="41" t="str">
        <f aca="false">IF($H446="","",IF(INDEX(Задачи!$E$1:$E$501,$H446)="","",INDEX(Задачи!$E$1:$E$501,$H446)))</f>
        <v/>
      </c>
      <c r="F446" s="41" t="str">
        <f aca="false">IF($H446="","",IF(INDEX(Задачи!$F$1:$F$501,$H446)="","",INDEX(Задачи!$F$1:$F$501,$H446)))</f>
        <v/>
      </c>
      <c r="G446" s="40" t="str">
        <f aca="false">IF($H446="","",INDEX(Задачи!$I$1:$I$501,$H446)&amp;"")</f>
        <v/>
      </c>
      <c r="H446" s="20" t="str">
        <f aca="false">IFERROR(MOD(LARGE(Задачи!$P$2:$P$501,ROWS(H$5:H446)),1000),"")</f>
        <v/>
      </c>
    </row>
    <row r="447" customFormat="false" ht="30" hidden="false" customHeight="true" outlineLevel="0" collapsed="false">
      <c r="A447" s="39" t="str">
        <f aca="false">IF($H447="","",ROWS(A$5:A447))</f>
        <v/>
      </c>
      <c r="B447" s="40" t="str">
        <f aca="false">IF($H447="","",INDEX(Задачи!$A$1:$A$501,$H447)&amp;"")</f>
        <v/>
      </c>
      <c r="C447" s="40" t="str">
        <f aca="false">IF($H447="","",INDEX(Задачи!$B$1:$B$501,$H447)&amp;"")</f>
        <v/>
      </c>
      <c r="D447" s="39" t="str">
        <f aca="false">IF($H447="","",INDEX(Задачи!$C$1:$C$501,$H447)&amp;"")</f>
        <v/>
      </c>
      <c r="E447" s="41" t="str">
        <f aca="false">IF($H447="","",IF(INDEX(Задачи!$E$1:$E$501,$H447)="","",INDEX(Задачи!$E$1:$E$501,$H447)))</f>
        <v/>
      </c>
      <c r="F447" s="41" t="str">
        <f aca="false">IF($H447="","",IF(INDEX(Задачи!$F$1:$F$501,$H447)="","",INDEX(Задачи!$F$1:$F$501,$H447)))</f>
        <v/>
      </c>
      <c r="G447" s="40" t="str">
        <f aca="false">IF($H447="","",INDEX(Задачи!$I$1:$I$501,$H447)&amp;"")</f>
        <v/>
      </c>
      <c r="H447" s="20" t="str">
        <f aca="false">IFERROR(MOD(LARGE(Задачи!$P$2:$P$501,ROWS(H$5:H447)),1000),"")</f>
        <v/>
      </c>
    </row>
    <row r="448" customFormat="false" ht="30" hidden="false" customHeight="true" outlineLevel="0" collapsed="false">
      <c r="A448" s="39" t="str">
        <f aca="false">IF($H448="","",ROWS(A$5:A448))</f>
        <v/>
      </c>
      <c r="B448" s="40" t="str">
        <f aca="false">IF($H448="","",INDEX(Задачи!$A$1:$A$501,$H448)&amp;"")</f>
        <v/>
      </c>
      <c r="C448" s="40" t="str">
        <f aca="false">IF($H448="","",INDEX(Задачи!$B$1:$B$501,$H448)&amp;"")</f>
        <v/>
      </c>
      <c r="D448" s="39" t="str">
        <f aca="false">IF($H448="","",INDEX(Задачи!$C$1:$C$501,$H448)&amp;"")</f>
        <v/>
      </c>
      <c r="E448" s="41" t="str">
        <f aca="false">IF($H448="","",IF(INDEX(Задачи!$E$1:$E$501,$H448)="","",INDEX(Задачи!$E$1:$E$501,$H448)))</f>
        <v/>
      </c>
      <c r="F448" s="41" t="str">
        <f aca="false">IF($H448="","",IF(INDEX(Задачи!$F$1:$F$501,$H448)="","",INDEX(Задачи!$F$1:$F$501,$H448)))</f>
        <v/>
      </c>
      <c r="G448" s="40" t="str">
        <f aca="false">IF($H448="","",INDEX(Задачи!$I$1:$I$501,$H448)&amp;"")</f>
        <v/>
      </c>
      <c r="H448" s="20" t="str">
        <f aca="false">IFERROR(MOD(LARGE(Задачи!$P$2:$P$501,ROWS(H$5:H448)),1000),"")</f>
        <v/>
      </c>
    </row>
    <row r="449" customFormat="false" ht="30" hidden="false" customHeight="true" outlineLevel="0" collapsed="false">
      <c r="A449" s="39" t="str">
        <f aca="false">IF($H449="","",ROWS(A$5:A449))</f>
        <v/>
      </c>
      <c r="B449" s="40" t="str">
        <f aca="false">IF($H449="","",INDEX(Задачи!$A$1:$A$501,$H449)&amp;"")</f>
        <v/>
      </c>
      <c r="C449" s="40" t="str">
        <f aca="false">IF($H449="","",INDEX(Задачи!$B$1:$B$501,$H449)&amp;"")</f>
        <v/>
      </c>
      <c r="D449" s="39" t="str">
        <f aca="false">IF($H449="","",INDEX(Задачи!$C$1:$C$501,$H449)&amp;"")</f>
        <v/>
      </c>
      <c r="E449" s="41" t="str">
        <f aca="false">IF($H449="","",IF(INDEX(Задачи!$E$1:$E$501,$H449)="","",INDEX(Задачи!$E$1:$E$501,$H449)))</f>
        <v/>
      </c>
      <c r="F449" s="41" t="str">
        <f aca="false">IF($H449="","",IF(INDEX(Задачи!$F$1:$F$501,$H449)="","",INDEX(Задачи!$F$1:$F$501,$H449)))</f>
        <v/>
      </c>
      <c r="G449" s="40" t="str">
        <f aca="false">IF($H449="","",INDEX(Задачи!$I$1:$I$501,$H449)&amp;"")</f>
        <v/>
      </c>
      <c r="H449" s="20" t="str">
        <f aca="false">IFERROR(MOD(LARGE(Задачи!$P$2:$P$501,ROWS(H$5:H449)),1000),"")</f>
        <v/>
      </c>
    </row>
    <row r="450" customFormat="false" ht="30" hidden="false" customHeight="true" outlineLevel="0" collapsed="false">
      <c r="A450" s="39" t="str">
        <f aca="false">IF($H450="","",ROWS(A$5:A450))</f>
        <v/>
      </c>
      <c r="B450" s="40" t="str">
        <f aca="false">IF($H450="","",INDEX(Задачи!$A$1:$A$501,$H450)&amp;"")</f>
        <v/>
      </c>
      <c r="C450" s="40" t="str">
        <f aca="false">IF($H450="","",INDEX(Задачи!$B$1:$B$501,$H450)&amp;"")</f>
        <v/>
      </c>
      <c r="D450" s="39" t="str">
        <f aca="false">IF($H450="","",INDEX(Задачи!$C$1:$C$501,$H450)&amp;"")</f>
        <v/>
      </c>
      <c r="E450" s="41" t="str">
        <f aca="false">IF($H450="","",IF(INDEX(Задачи!$E$1:$E$501,$H450)="","",INDEX(Задачи!$E$1:$E$501,$H450)))</f>
        <v/>
      </c>
      <c r="F450" s="41" t="str">
        <f aca="false">IF($H450="","",IF(INDEX(Задачи!$F$1:$F$501,$H450)="","",INDEX(Задачи!$F$1:$F$501,$H450)))</f>
        <v/>
      </c>
      <c r="G450" s="40" t="str">
        <f aca="false">IF($H450="","",INDEX(Задачи!$I$1:$I$501,$H450)&amp;"")</f>
        <v/>
      </c>
      <c r="H450" s="20" t="str">
        <f aca="false">IFERROR(MOD(LARGE(Задачи!$P$2:$P$501,ROWS(H$5:H450)),1000),"")</f>
        <v/>
      </c>
    </row>
    <row r="451" customFormat="false" ht="30" hidden="false" customHeight="true" outlineLevel="0" collapsed="false">
      <c r="A451" s="39" t="str">
        <f aca="false">IF($H451="","",ROWS(A$5:A451))</f>
        <v/>
      </c>
      <c r="B451" s="40" t="str">
        <f aca="false">IF($H451="","",INDEX(Задачи!$A$1:$A$501,$H451)&amp;"")</f>
        <v/>
      </c>
      <c r="C451" s="40" t="str">
        <f aca="false">IF($H451="","",INDEX(Задачи!$B$1:$B$501,$H451)&amp;"")</f>
        <v/>
      </c>
      <c r="D451" s="39" t="str">
        <f aca="false">IF($H451="","",INDEX(Задачи!$C$1:$C$501,$H451)&amp;"")</f>
        <v/>
      </c>
      <c r="E451" s="41" t="str">
        <f aca="false">IF($H451="","",IF(INDEX(Задачи!$E$1:$E$501,$H451)="","",INDEX(Задачи!$E$1:$E$501,$H451)))</f>
        <v/>
      </c>
      <c r="F451" s="41" t="str">
        <f aca="false">IF($H451="","",IF(INDEX(Задачи!$F$1:$F$501,$H451)="","",INDEX(Задачи!$F$1:$F$501,$H451)))</f>
        <v/>
      </c>
      <c r="G451" s="40" t="str">
        <f aca="false">IF($H451="","",INDEX(Задачи!$I$1:$I$501,$H451)&amp;"")</f>
        <v/>
      </c>
      <c r="H451" s="20" t="str">
        <f aca="false">IFERROR(MOD(LARGE(Задачи!$P$2:$P$501,ROWS(H$5:H451)),1000),"")</f>
        <v/>
      </c>
    </row>
    <row r="452" customFormat="false" ht="30" hidden="false" customHeight="true" outlineLevel="0" collapsed="false">
      <c r="A452" s="39" t="str">
        <f aca="false">IF($H452="","",ROWS(A$5:A452))</f>
        <v/>
      </c>
      <c r="B452" s="40" t="str">
        <f aca="false">IF($H452="","",INDEX(Задачи!$A$1:$A$501,$H452)&amp;"")</f>
        <v/>
      </c>
      <c r="C452" s="40" t="str">
        <f aca="false">IF($H452="","",INDEX(Задачи!$B$1:$B$501,$H452)&amp;"")</f>
        <v/>
      </c>
      <c r="D452" s="39" t="str">
        <f aca="false">IF($H452="","",INDEX(Задачи!$C$1:$C$501,$H452)&amp;"")</f>
        <v/>
      </c>
      <c r="E452" s="41" t="str">
        <f aca="false">IF($H452="","",IF(INDEX(Задачи!$E$1:$E$501,$H452)="","",INDEX(Задачи!$E$1:$E$501,$H452)))</f>
        <v/>
      </c>
      <c r="F452" s="41" t="str">
        <f aca="false">IF($H452="","",IF(INDEX(Задачи!$F$1:$F$501,$H452)="","",INDEX(Задачи!$F$1:$F$501,$H452)))</f>
        <v/>
      </c>
      <c r="G452" s="40" t="str">
        <f aca="false">IF($H452="","",INDEX(Задачи!$I$1:$I$501,$H452)&amp;"")</f>
        <v/>
      </c>
      <c r="H452" s="20" t="str">
        <f aca="false">IFERROR(MOD(LARGE(Задачи!$P$2:$P$501,ROWS(H$5:H452)),1000),"")</f>
        <v/>
      </c>
    </row>
    <row r="453" customFormat="false" ht="30" hidden="false" customHeight="true" outlineLevel="0" collapsed="false">
      <c r="A453" s="39" t="str">
        <f aca="false">IF($H453="","",ROWS(A$5:A453))</f>
        <v/>
      </c>
      <c r="B453" s="40" t="str">
        <f aca="false">IF($H453="","",INDEX(Задачи!$A$1:$A$501,$H453)&amp;"")</f>
        <v/>
      </c>
      <c r="C453" s="40" t="str">
        <f aca="false">IF($H453="","",INDEX(Задачи!$B$1:$B$501,$H453)&amp;"")</f>
        <v/>
      </c>
      <c r="D453" s="39" t="str">
        <f aca="false">IF($H453="","",INDEX(Задачи!$C$1:$C$501,$H453)&amp;"")</f>
        <v/>
      </c>
      <c r="E453" s="41" t="str">
        <f aca="false">IF($H453="","",IF(INDEX(Задачи!$E$1:$E$501,$H453)="","",INDEX(Задачи!$E$1:$E$501,$H453)))</f>
        <v/>
      </c>
      <c r="F453" s="41" t="str">
        <f aca="false">IF($H453="","",IF(INDEX(Задачи!$F$1:$F$501,$H453)="","",INDEX(Задачи!$F$1:$F$501,$H453)))</f>
        <v/>
      </c>
      <c r="G453" s="40" t="str">
        <f aca="false">IF($H453="","",INDEX(Задачи!$I$1:$I$501,$H453)&amp;"")</f>
        <v/>
      </c>
      <c r="H453" s="20" t="str">
        <f aca="false">IFERROR(MOD(LARGE(Задачи!$P$2:$P$501,ROWS(H$5:H453)),1000),"")</f>
        <v/>
      </c>
    </row>
    <row r="454" customFormat="false" ht="30" hidden="false" customHeight="true" outlineLevel="0" collapsed="false">
      <c r="A454" s="39" t="str">
        <f aca="false">IF($H454="","",ROWS(A$5:A454))</f>
        <v/>
      </c>
      <c r="B454" s="40" t="str">
        <f aca="false">IF($H454="","",INDEX(Задачи!$A$1:$A$501,$H454)&amp;"")</f>
        <v/>
      </c>
      <c r="C454" s="40" t="str">
        <f aca="false">IF($H454="","",INDEX(Задачи!$B$1:$B$501,$H454)&amp;"")</f>
        <v/>
      </c>
      <c r="D454" s="39" t="str">
        <f aca="false">IF($H454="","",INDEX(Задачи!$C$1:$C$501,$H454)&amp;"")</f>
        <v/>
      </c>
      <c r="E454" s="41" t="str">
        <f aca="false">IF($H454="","",IF(INDEX(Задачи!$E$1:$E$501,$H454)="","",INDEX(Задачи!$E$1:$E$501,$H454)))</f>
        <v/>
      </c>
      <c r="F454" s="41" t="str">
        <f aca="false">IF($H454="","",IF(INDEX(Задачи!$F$1:$F$501,$H454)="","",INDEX(Задачи!$F$1:$F$501,$H454)))</f>
        <v/>
      </c>
      <c r="G454" s="40" t="str">
        <f aca="false">IF($H454="","",INDEX(Задачи!$I$1:$I$501,$H454)&amp;"")</f>
        <v/>
      </c>
      <c r="H454" s="20" t="str">
        <f aca="false">IFERROR(MOD(LARGE(Задачи!$P$2:$P$501,ROWS(H$5:H454)),1000),"")</f>
        <v/>
      </c>
    </row>
    <row r="455" customFormat="false" ht="30" hidden="false" customHeight="true" outlineLevel="0" collapsed="false">
      <c r="A455" s="39" t="str">
        <f aca="false">IF($H455="","",ROWS(A$5:A455))</f>
        <v/>
      </c>
      <c r="B455" s="40" t="str">
        <f aca="false">IF($H455="","",INDEX(Задачи!$A$1:$A$501,$H455)&amp;"")</f>
        <v/>
      </c>
      <c r="C455" s="40" t="str">
        <f aca="false">IF($H455="","",INDEX(Задачи!$B$1:$B$501,$H455)&amp;"")</f>
        <v/>
      </c>
      <c r="D455" s="39" t="str">
        <f aca="false">IF($H455="","",INDEX(Задачи!$C$1:$C$501,$H455)&amp;"")</f>
        <v/>
      </c>
      <c r="E455" s="41" t="str">
        <f aca="false">IF($H455="","",IF(INDEX(Задачи!$E$1:$E$501,$H455)="","",INDEX(Задачи!$E$1:$E$501,$H455)))</f>
        <v/>
      </c>
      <c r="F455" s="41" t="str">
        <f aca="false">IF($H455="","",IF(INDEX(Задачи!$F$1:$F$501,$H455)="","",INDEX(Задачи!$F$1:$F$501,$H455)))</f>
        <v/>
      </c>
      <c r="G455" s="40" t="str">
        <f aca="false">IF($H455="","",INDEX(Задачи!$I$1:$I$501,$H455)&amp;"")</f>
        <v/>
      </c>
      <c r="H455" s="20" t="str">
        <f aca="false">IFERROR(MOD(LARGE(Задачи!$P$2:$P$501,ROWS(H$5:H455)),1000),"")</f>
        <v/>
      </c>
    </row>
    <row r="456" customFormat="false" ht="30" hidden="false" customHeight="true" outlineLevel="0" collapsed="false">
      <c r="A456" s="39" t="str">
        <f aca="false">IF($H456="","",ROWS(A$5:A456))</f>
        <v/>
      </c>
      <c r="B456" s="40" t="str">
        <f aca="false">IF($H456="","",INDEX(Задачи!$A$1:$A$501,$H456)&amp;"")</f>
        <v/>
      </c>
      <c r="C456" s="40" t="str">
        <f aca="false">IF($H456="","",INDEX(Задачи!$B$1:$B$501,$H456)&amp;"")</f>
        <v/>
      </c>
      <c r="D456" s="39" t="str">
        <f aca="false">IF($H456="","",INDEX(Задачи!$C$1:$C$501,$H456)&amp;"")</f>
        <v/>
      </c>
      <c r="E456" s="41" t="str">
        <f aca="false">IF($H456="","",IF(INDEX(Задачи!$E$1:$E$501,$H456)="","",INDEX(Задачи!$E$1:$E$501,$H456)))</f>
        <v/>
      </c>
      <c r="F456" s="41" t="str">
        <f aca="false">IF($H456="","",IF(INDEX(Задачи!$F$1:$F$501,$H456)="","",INDEX(Задачи!$F$1:$F$501,$H456)))</f>
        <v/>
      </c>
      <c r="G456" s="40" t="str">
        <f aca="false">IF($H456="","",INDEX(Задачи!$I$1:$I$501,$H456)&amp;"")</f>
        <v/>
      </c>
      <c r="H456" s="20" t="str">
        <f aca="false">IFERROR(MOD(LARGE(Задачи!$P$2:$P$501,ROWS(H$5:H456)),1000),"")</f>
        <v/>
      </c>
    </row>
    <row r="457" customFormat="false" ht="30" hidden="false" customHeight="true" outlineLevel="0" collapsed="false">
      <c r="A457" s="39" t="str">
        <f aca="false">IF($H457="","",ROWS(A$5:A457))</f>
        <v/>
      </c>
      <c r="B457" s="40" t="str">
        <f aca="false">IF($H457="","",INDEX(Задачи!$A$1:$A$501,$H457)&amp;"")</f>
        <v/>
      </c>
      <c r="C457" s="40" t="str">
        <f aca="false">IF($H457="","",INDEX(Задачи!$B$1:$B$501,$H457)&amp;"")</f>
        <v/>
      </c>
      <c r="D457" s="39" t="str">
        <f aca="false">IF($H457="","",INDEX(Задачи!$C$1:$C$501,$H457)&amp;"")</f>
        <v/>
      </c>
      <c r="E457" s="41" t="str">
        <f aca="false">IF($H457="","",IF(INDEX(Задачи!$E$1:$E$501,$H457)="","",INDEX(Задачи!$E$1:$E$501,$H457)))</f>
        <v/>
      </c>
      <c r="F457" s="41" t="str">
        <f aca="false">IF($H457="","",IF(INDEX(Задачи!$F$1:$F$501,$H457)="","",INDEX(Задачи!$F$1:$F$501,$H457)))</f>
        <v/>
      </c>
      <c r="G457" s="40" t="str">
        <f aca="false">IF($H457="","",INDEX(Задачи!$I$1:$I$501,$H457)&amp;"")</f>
        <v/>
      </c>
      <c r="H457" s="20" t="str">
        <f aca="false">IFERROR(MOD(LARGE(Задачи!$P$2:$P$501,ROWS(H$5:H457)),1000),"")</f>
        <v/>
      </c>
    </row>
    <row r="458" customFormat="false" ht="30" hidden="false" customHeight="true" outlineLevel="0" collapsed="false">
      <c r="A458" s="39" t="str">
        <f aca="false">IF($H458="","",ROWS(A$5:A458))</f>
        <v/>
      </c>
      <c r="B458" s="40" t="str">
        <f aca="false">IF($H458="","",INDEX(Задачи!$A$1:$A$501,$H458)&amp;"")</f>
        <v/>
      </c>
      <c r="C458" s="40" t="str">
        <f aca="false">IF($H458="","",INDEX(Задачи!$B$1:$B$501,$H458)&amp;"")</f>
        <v/>
      </c>
      <c r="D458" s="39" t="str">
        <f aca="false">IF($H458="","",INDEX(Задачи!$C$1:$C$501,$H458)&amp;"")</f>
        <v/>
      </c>
      <c r="E458" s="41" t="str">
        <f aca="false">IF($H458="","",IF(INDEX(Задачи!$E$1:$E$501,$H458)="","",INDEX(Задачи!$E$1:$E$501,$H458)))</f>
        <v/>
      </c>
      <c r="F458" s="41" t="str">
        <f aca="false">IF($H458="","",IF(INDEX(Задачи!$F$1:$F$501,$H458)="","",INDEX(Задачи!$F$1:$F$501,$H458)))</f>
        <v/>
      </c>
      <c r="G458" s="40" t="str">
        <f aca="false">IF($H458="","",INDEX(Задачи!$I$1:$I$501,$H458)&amp;"")</f>
        <v/>
      </c>
      <c r="H458" s="20" t="str">
        <f aca="false">IFERROR(MOD(LARGE(Задачи!$P$2:$P$501,ROWS(H$5:H458)),1000),"")</f>
        <v/>
      </c>
    </row>
    <row r="459" customFormat="false" ht="30" hidden="false" customHeight="true" outlineLevel="0" collapsed="false">
      <c r="A459" s="39" t="str">
        <f aca="false">IF($H459="","",ROWS(A$5:A459))</f>
        <v/>
      </c>
      <c r="B459" s="40" t="str">
        <f aca="false">IF($H459="","",INDEX(Задачи!$A$1:$A$501,$H459)&amp;"")</f>
        <v/>
      </c>
      <c r="C459" s="40" t="str">
        <f aca="false">IF($H459="","",INDEX(Задачи!$B$1:$B$501,$H459)&amp;"")</f>
        <v/>
      </c>
      <c r="D459" s="39" t="str">
        <f aca="false">IF($H459="","",INDEX(Задачи!$C$1:$C$501,$H459)&amp;"")</f>
        <v/>
      </c>
      <c r="E459" s="41" t="str">
        <f aca="false">IF($H459="","",IF(INDEX(Задачи!$E$1:$E$501,$H459)="","",INDEX(Задачи!$E$1:$E$501,$H459)))</f>
        <v/>
      </c>
      <c r="F459" s="41" t="str">
        <f aca="false">IF($H459="","",IF(INDEX(Задачи!$F$1:$F$501,$H459)="","",INDEX(Задачи!$F$1:$F$501,$H459)))</f>
        <v/>
      </c>
      <c r="G459" s="40" t="str">
        <f aca="false">IF($H459="","",INDEX(Задачи!$I$1:$I$501,$H459)&amp;"")</f>
        <v/>
      </c>
      <c r="H459" s="20" t="str">
        <f aca="false">IFERROR(MOD(LARGE(Задачи!$P$2:$P$501,ROWS(H$5:H459)),1000),"")</f>
        <v/>
      </c>
    </row>
    <row r="460" customFormat="false" ht="30" hidden="false" customHeight="true" outlineLevel="0" collapsed="false">
      <c r="A460" s="39" t="str">
        <f aca="false">IF($H460="","",ROWS(A$5:A460))</f>
        <v/>
      </c>
      <c r="B460" s="40" t="str">
        <f aca="false">IF($H460="","",INDEX(Задачи!$A$1:$A$501,$H460)&amp;"")</f>
        <v/>
      </c>
      <c r="C460" s="40" t="str">
        <f aca="false">IF($H460="","",INDEX(Задачи!$B$1:$B$501,$H460)&amp;"")</f>
        <v/>
      </c>
      <c r="D460" s="39" t="str">
        <f aca="false">IF($H460="","",INDEX(Задачи!$C$1:$C$501,$H460)&amp;"")</f>
        <v/>
      </c>
      <c r="E460" s="41" t="str">
        <f aca="false">IF($H460="","",IF(INDEX(Задачи!$E$1:$E$501,$H460)="","",INDEX(Задачи!$E$1:$E$501,$H460)))</f>
        <v/>
      </c>
      <c r="F460" s="41" t="str">
        <f aca="false">IF($H460="","",IF(INDEX(Задачи!$F$1:$F$501,$H460)="","",INDEX(Задачи!$F$1:$F$501,$H460)))</f>
        <v/>
      </c>
      <c r="G460" s="40" t="str">
        <f aca="false">IF($H460="","",INDEX(Задачи!$I$1:$I$501,$H460)&amp;"")</f>
        <v/>
      </c>
      <c r="H460" s="20" t="str">
        <f aca="false">IFERROR(MOD(LARGE(Задачи!$P$2:$P$501,ROWS(H$5:H460)),1000),"")</f>
        <v/>
      </c>
    </row>
    <row r="461" customFormat="false" ht="30" hidden="false" customHeight="true" outlineLevel="0" collapsed="false">
      <c r="A461" s="39" t="str">
        <f aca="false">IF($H461="","",ROWS(A$5:A461))</f>
        <v/>
      </c>
      <c r="B461" s="40" t="str">
        <f aca="false">IF($H461="","",INDEX(Задачи!$A$1:$A$501,$H461)&amp;"")</f>
        <v/>
      </c>
      <c r="C461" s="40" t="str">
        <f aca="false">IF($H461="","",INDEX(Задачи!$B$1:$B$501,$H461)&amp;"")</f>
        <v/>
      </c>
      <c r="D461" s="39" t="str">
        <f aca="false">IF($H461="","",INDEX(Задачи!$C$1:$C$501,$H461)&amp;"")</f>
        <v/>
      </c>
      <c r="E461" s="41" t="str">
        <f aca="false">IF($H461="","",IF(INDEX(Задачи!$E$1:$E$501,$H461)="","",INDEX(Задачи!$E$1:$E$501,$H461)))</f>
        <v/>
      </c>
      <c r="F461" s="41" t="str">
        <f aca="false">IF($H461="","",IF(INDEX(Задачи!$F$1:$F$501,$H461)="","",INDEX(Задачи!$F$1:$F$501,$H461)))</f>
        <v/>
      </c>
      <c r="G461" s="40" t="str">
        <f aca="false">IF($H461="","",INDEX(Задачи!$I$1:$I$501,$H461)&amp;"")</f>
        <v/>
      </c>
      <c r="H461" s="20" t="str">
        <f aca="false">IFERROR(MOD(LARGE(Задачи!$P$2:$P$501,ROWS(H$5:H461)),1000),"")</f>
        <v/>
      </c>
    </row>
    <row r="462" customFormat="false" ht="30" hidden="false" customHeight="true" outlineLevel="0" collapsed="false">
      <c r="A462" s="39" t="str">
        <f aca="false">IF($H462="","",ROWS(A$5:A462))</f>
        <v/>
      </c>
      <c r="B462" s="40" t="str">
        <f aca="false">IF($H462="","",INDEX(Задачи!$A$1:$A$501,$H462)&amp;"")</f>
        <v/>
      </c>
      <c r="C462" s="40" t="str">
        <f aca="false">IF($H462="","",INDEX(Задачи!$B$1:$B$501,$H462)&amp;"")</f>
        <v/>
      </c>
      <c r="D462" s="39" t="str">
        <f aca="false">IF($H462="","",INDEX(Задачи!$C$1:$C$501,$H462)&amp;"")</f>
        <v/>
      </c>
      <c r="E462" s="41" t="str">
        <f aca="false">IF($H462="","",IF(INDEX(Задачи!$E$1:$E$501,$H462)="","",INDEX(Задачи!$E$1:$E$501,$H462)))</f>
        <v/>
      </c>
      <c r="F462" s="41" t="str">
        <f aca="false">IF($H462="","",IF(INDEX(Задачи!$F$1:$F$501,$H462)="","",INDEX(Задачи!$F$1:$F$501,$H462)))</f>
        <v/>
      </c>
      <c r="G462" s="40" t="str">
        <f aca="false">IF($H462="","",INDEX(Задачи!$I$1:$I$501,$H462)&amp;"")</f>
        <v/>
      </c>
      <c r="H462" s="20" t="str">
        <f aca="false">IFERROR(MOD(LARGE(Задачи!$P$2:$P$501,ROWS(H$5:H462)),1000),"")</f>
        <v/>
      </c>
    </row>
    <row r="463" customFormat="false" ht="30" hidden="false" customHeight="true" outlineLevel="0" collapsed="false">
      <c r="A463" s="39" t="str">
        <f aca="false">IF($H463="","",ROWS(A$5:A463))</f>
        <v/>
      </c>
      <c r="B463" s="40" t="str">
        <f aca="false">IF($H463="","",INDEX(Задачи!$A$1:$A$501,$H463)&amp;"")</f>
        <v/>
      </c>
      <c r="C463" s="40" t="str">
        <f aca="false">IF($H463="","",INDEX(Задачи!$B$1:$B$501,$H463)&amp;"")</f>
        <v/>
      </c>
      <c r="D463" s="39" t="str">
        <f aca="false">IF($H463="","",INDEX(Задачи!$C$1:$C$501,$H463)&amp;"")</f>
        <v/>
      </c>
      <c r="E463" s="41" t="str">
        <f aca="false">IF($H463="","",IF(INDEX(Задачи!$E$1:$E$501,$H463)="","",INDEX(Задачи!$E$1:$E$501,$H463)))</f>
        <v/>
      </c>
      <c r="F463" s="41" t="str">
        <f aca="false">IF($H463="","",IF(INDEX(Задачи!$F$1:$F$501,$H463)="","",INDEX(Задачи!$F$1:$F$501,$H463)))</f>
        <v/>
      </c>
      <c r="G463" s="40" t="str">
        <f aca="false">IF($H463="","",INDEX(Задачи!$I$1:$I$501,$H463)&amp;"")</f>
        <v/>
      </c>
      <c r="H463" s="20" t="str">
        <f aca="false">IFERROR(MOD(LARGE(Задачи!$P$2:$P$501,ROWS(H$5:H463)),1000),"")</f>
        <v/>
      </c>
    </row>
    <row r="464" customFormat="false" ht="30" hidden="false" customHeight="true" outlineLevel="0" collapsed="false">
      <c r="A464" s="39" t="str">
        <f aca="false">IF($H464="","",ROWS(A$5:A464))</f>
        <v/>
      </c>
      <c r="B464" s="40" t="str">
        <f aca="false">IF($H464="","",INDEX(Задачи!$A$1:$A$501,$H464)&amp;"")</f>
        <v/>
      </c>
      <c r="C464" s="40" t="str">
        <f aca="false">IF($H464="","",INDEX(Задачи!$B$1:$B$501,$H464)&amp;"")</f>
        <v/>
      </c>
      <c r="D464" s="39" t="str">
        <f aca="false">IF($H464="","",INDEX(Задачи!$C$1:$C$501,$H464)&amp;"")</f>
        <v/>
      </c>
      <c r="E464" s="41" t="str">
        <f aca="false">IF($H464="","",IF(INDEX(Задачи!$E$1:$E$501,$H464)="","",INDEX(Задачи!$E$1:$E$501,$H464)))</f>
        <v/>
      </c>
      <c r="F464" s="41" t="str">
        <f aca="false">IF($H464="","",IF(INDEX(Задачи!$F$1:$F$501,$H464)="","",INDEX(Задачи!$F$1:$F$501,$H464)))</f>
        <v/>
      </c>
      <c r="G464" s="40" t="str">
        <f aca="false">IF($H464="","",INDEX(Задачи!$I$1:$I$501,$H464)&amp;"")</f>
        <v/>
      </c>
      <c r="H464" s="20" t="str">
        <f aca="false">IFERROR(MOD(LARGE(Задачи!$P$2:$P$501,ROWS(H$5:H464)),1000),"")</f>
        <v/>
      </c>
    </row>
    <row r="465" customFormat="false" ht="30" hidden="false" customHeight="true" outlineLevel="0" collapsed="false">
      <c r="A465" s="39" t="str">
        <f aca="false">IF($H465="","",ROWS(A$5:A465))</f>
        <v/>
      </c>
      <c r="B465" s="40" t="str">
        <f aca="false">IF($H465="","",INDEX(Задачи!$A$1:$A$501,$H465)&amp;"")</f>
        <v/>
      </c>
      <c r="C465" s="40" t="str">
        <f aca="false">IF($H465="","",INDEX(Задачи!$B$1:$B$501,$H465)&amp;"")</f>
        <v/>
      </c>
      <c r="D465" s="39" t="str">
        <f aca="false">IF($H465="","",INDEX(Задачи!$C$1:$C$501,$H465)&amp;"")</f>
        <v/>
      </c>
      <c r="E465" s="41" t="str">
        <f aca="false">IF($H465="","",IF(INDEX(Задачи!$E$1:$E$501,$H465)="","",INDEX(Задачи!$E$1:$E$501,$H465)))</f>
        <v/>
      </c>
      <c r="F465" s="41" t="str">
        <f aca="false">IF($H465="","",IF(INDEX(Задачи!$F$1:$F$501,$H465)="","",INDEX(Задачи!$F$1:$F$501,$H465)))</f>
        <v/>
      </c>
      <c r="G465" s="40" t="str">
        <f aca="false">IF($H465="","",INDEX(Задачи!$I$1:$I$501,$H465)&amp;"")</f>
        <v/>
      </c>
      <c r="H465" s="20" t="str">
        <f aca="false">IFERROR(MOD(LARGE(Задачи!$P$2:$P$501,ROWS(H$5:H465)),1000),"")</f>
        <v/>
      </c>
    </row>
    <row r="466" customFormat="false" ht="30" hidden="false" customHeight="true" outlineLevel="0" collapsed="false">
      <c r="A466" s="39" t="str">
        <f aca="false">IF($H466="","",ROWS(A$5:A466))</f>
        <v/>
      </c>
      <c r="B466" s="40" t="str">
        <f aca="false">IF($H466="","",INDEX(Задачи!$A$1:$A$501,$H466)&amp;"")</f>
        <v/>
      </c>
      <c r="C466" s="40" t="str">
        <f aca="false">IF($H466="","",INDEX(Задачи!$B$1:$B$501,$H466)&amp;"")</f>
        <v/>
      </c>
      <c r="D466" s="39" t="str">
        <f aca="false">IF($H466="","",INDEX(Задачи!$C$1:$C$501,$H466)&amp;"")</f>
        <v/>
      </c>
      <c r="E466" s="41" t="str">
        <f aca="false">IF($H466="","",IF(INDEX(Задачи!$E$1:$E$501,$H466)="","",INDEX(Задачи!$E$1:$E$501,$H466)))</f>
        <v/>
      </c>
      <c r="F466" s="41" t="str">
        <f aca="false">IF($H466="","",IF(INDEX(Задачи!$F$1:$F$501,$H466)="","",INDEX(Задачи!$F$1:$F$501,$H466)))</f>
        <v/>
      </c>
      <c r="G466" s="40" t="str">
        <f aca="false">IF($H466="","",INDEX(Задачи!$I$1:$I$501,$H466)&amp;"")</f>
        <v/>
      </c>
      <c r="H466" s="20" t="str">
        <f aca="false">IFERROR(MOD(LARGE(Задачи!$P$2:$P$501,ROWS(H$5:H466)),1000),"")</f>
        <v/>
      </c>
    </row>
    <row r="467" customFormat="false" ht="30" hidden="false" customHeight="true" outlineLevel="0" collapsed="false">
      <c r="A467" s="39" t="str">
        <f aca="false">IF($H467="","",ROWS(A$5:A467))</f>
        <v/>
      </c>
      <c r="B467" s="40" t="str">
        <f aca="false">IF($H467="","",INDEX(Задачи!$A$1:$A$501,$H467)&amp;"")</f>
        <v/>
      </c>
      <c r="C467" s="40" t="str">
        <f aca="false">IF($H467="","",INDEX(Задачи!$B$1:$B$501,$H467)&amp;"")</f>
        <v/>
      </c>
      <c r="D467" s="39" t="str">
        <f aca="false">IF($H467="","",INDEX(Задачи!$C$1:$C$501,$H467)&amp;"")</f>
        <v/>
      </c>
      <c r="E467" s="41" t="str">
        <f aca="false">IF($H467="","",IF(INDEX(Задачи!$E$1:$E$501,$H467)="","",INDEX(Задачи!$E$1:$E$501,$H467)))</f>
        <v/>
      </c>
      <c r="F467" s="41" t="str">
        <f aca="false">IF($H467="","",IF(INDEX(Задачи!$F$1:$F$501,$H467)="","",INDEX(Задачи!$F$1:$F$501,$H467)))</f>
        <v/>
      </c>
      <c r="G467" s="40" t="str">
        <f aca="false">IF($H467="","",INDEX(Задачи!$I$1:$I$501,$H467)&amp;"")</f>
        <v/>
      </c>
      <c r="H467" s="20" t="str">
        <f aca="false">IFERROR(MOD(LARGE(Задачи!$P$2:$P$501,ROWS(H$5:H467)),1000),"")</f>
        <v/>
      </c>
    </row>
    <row r="468" customFormat="false" ht="30" hidden="false" customHeight="true" outlineLevel="0" collapsed="false">
      <c r="A468" s="39" t="str">
        <f aca="false">IF($H468="","",ROWS(A$5:A468))</f>
        <v/>
      </c>
      <c r="B468" s="40" t="str">
        <f aca="false">IF($H468="","",INDEX(Задачи!$A$1:$A$501,$H468)&amp;"")</f>
        <v/>
      </c>
      <c r="C468" s="40" t="str">
        <f aca="false">IF($H468="","",INDEX(Задачи!$B$1:$B$501,$H468)&amp;"")</f>
        <v/>
      </c>
      <c r="D468" s="39" t="str">
        <f aca="false">IF($H468="","",INDEX(Задачи!$C$1:$C$501,$H468)&amp;"")</f>
        <v/>
      </c>
      <c r="E468" s="41" t="str">
        <f aca="false">IF($H468="","",IF(INDEX(Задачи!$E$1:$E$501,$H468)="","",INDEX(Задачи!$E$1:$E$501,$H468)))</f>
        <v/>
      </c>
      <c r="F468" s="41" t="str">
        <f aca="false">IF($H468="","",IF(INDEX(Задачи!$F$1:$F$501,$H468)="","",INDEX(Задачи!$F$1:$F$501,$H468)))</f>
        <v/>
      </c>
      <c r="G468" s="40" t="str">
        <f aca="false">IF($H468="","",INDEX(Задачи!$I$1:$I$501,$H468)&amp;"")</f>
        <v/>
      </c>
      <c r="H468" s="20" t="str">
        <f aca="false">IFERROR(MOD(LARGE(Задачи!$P$2:$P$501,ROWS(H$5:H468)),1000),"")</f>
        <v/>
      </c>
    </row>
    <row r="469" customFormat="false" ht="30" hidden="false" customHeight="true" outlineLevel="0" collapsed="false">
      <c r="A469" s="39" t="str">
        <f aca="false">IF($H469="","",ROWS(A$5:A469))</f>
        <v/>
      </c>
      <c r="B469" s="40" t="str">
        <f aca="false">IF($H469="","",INDEX(Задачи!$A$1:$A$501,$H469)&amp;"")</f>
        <v/>
      </c>
      <c r="C469" s="40" t="str">
        <f aca="false">IF($H469="","",INDEX(Задачи!$B$1:$B$501,$H469)&amp;"")</f>
        <v/>
      </c>
      <c r="D469" s="39" t="str">
        <f aca="false">IF($H469="","",INDEX(Задачи!$C$1:$C$501,$H469)&amp;"")</f>
        <v/>
      </c>
      <c r="E469" s="41" t="str">
        <f aca="false">IF($H469="","",IF(INDEX(Задачи!$E$1:$E$501,$H469)="","",INDEX(Задачи!$E$1:$E$501,$H469)))</f>
        <v/>
      </c>
      <c r="F469" s="41" t="str">
        <f aca="false">IF($H469="","",IF(INDEX(Задачи!$F$1:$F$501,$H469)="","",INDEX(Задачи!$F$1:$F$501,$H469)))</f>
        <v/>
      </c>
      <c r="G469" s="40" t="str">
        <f aca="false">IF($H469="","",INDEX(Задачи!$I$1:$I$501,$H469)&amp;"")</f>
        <v/>
      </c>
      <c r="H469" s="20" t="str">
        <f aca="false">IFERROR(MOD(LARGE(Задачи!$P$2:$P$501,ROWS(H$5:H469)),1000),"")</f>
        <v/>
      </c>
    </row>
    <row r="470" customFormat="false" ht="30" hidden="false" customHeight="true" outlineLevel="0" collapsed="false">
      <c r="A470" s="39" t="str">
        <f aca="false">IF($H470="","",ROWS(A$5:A470))</f>
        <v/>
      </c>
      <c r="B470" s="40" t="str">
        <f aca="false">IF($H470="","",INDEX(Задачи!$A$1:$A$501,$H470)&amp;"")</f>
        <v/>
      </c>
      <c r="C470" s="40" t="str">
        <f aca="false">IF($H470="","",INDEX(Задачи!$B$1:$B$501,$H470)&amp;"")</f>
        <v/>
      </c>
      <c r="D470" s="39" t="str">
        <f aca="false">IF($H470="","",INDEX(Задачи!$C$1:$C$501,$H470)&amp;"")</f>
        <v/>
      </c>
      <c r="E470" s="41" t="str">
        <f aca="false">IF($H470="","",IF(INDEX(Задачи!$E$1:$E$501,$H470)="","",INDEX(Задачи!$E$1:$E$501,$H470)))</f>
        <v/>
      </c>
      <c r="F470" s="41" t="str">
        <f aca="false">IF($H470="","",IF(INDEX(Задачи!$F$1:$F$501,$H470)="","",INDEX(Задачи!$F$1:$F$501,$H470)))</f>
        <v/>
      </c>
      <c r="G470" s="40" t="str">
        <f aca="false">IF($H470="","",INDEX(Задачи!$I$1:$I$501,$H470)&amp;"")</f>
        <v/>
      </c>
      <c r="H470" s="20" t="str">
        <f aca="false">IFERROR(MOD(LARGE(Задачи!$P$2:$P$501,ROWS(H$5:H470)),1000),"")</f>
        <v/>
      </c>
    </row>
    <row r="471" customFormat="false" ht="30" hidden="false" customHeight="true" outlineLevel="0" collapsed="false">
      <c r="A471" s="39" t="str">
        <f aca="false">IF($H471="","",ROWS(A$5:A471))</f>
        <v/>
      </c>
      <c r="B471" s="40" t="str">
        <f aca="false">IF($H471="","",INDEX(Задачи!$A$1:$A$501,$H471)&amp;"")</f>
        <v/>
      </c>
      <c r="C471" s="40" t="str">
        <f aca="false">IF($H471="","",INDEX(Задачи!$B$1:$B$501,$H471)&amp;"")</f>
        <v/>
      </c>
      <c r="D471" s="39" t="str">
        <f aca="false">IF($H471="","",INDEX(Задачи!$C$1:$C$501,$H471)&amp;"")</f>
        <v/>
      </c>
      <c r="E471" s="41" t="str">
        <f aca="false">IF($H471="","",IF(INDEX(Задачи!$E$1:$E$501,$H471)="","",INDEX(Задачи!$E$1:$E$501,$H471)))</f>
        <v/>
      </c>
      <c r="F471" s="41" t="str">
        <f aca="false">IF($H471="","",IF(INDEX(Задачи!$F$1:$F$501,$H471)="","",INDEX(Задачи!$F$1:$F$501,$H471)))</f>
        <v/>
      </c>
      <c r="G471" s="40" t="str">
        <f aca="false">IF($H471="","",INDEX(Задачи!$I$1:$I$501,$H471)&amp;"")</f>
        <v/>
      </c>
      <c r="H471" s="20" t="str">
        <f aca="false">IFERROR(MOD(LARGE(Задачи!$P$2:$P$501,ROWS(H$5:H471)),1000),"")</f>
        <v/>
      </c>
    </row>
    <row r="472" customFormat="false" ht="30" hidden="false" customHeight="true" outlineLevel="0" collapsed="false">
      <c r="A472" s="39" t="str">
        <f aca="false">IF($H472="","",ROWS(A$5:A472))</f>
        <v/>
      </c>
      <c r="B472" s="40" t="str">
        <f aca="false">IF($H472="","",INDEX(Задачи!$A$1:$A$501,$H472)&amp;"")</f>
        <v/>
      </c>
      <c r="C472" s="40" t="str">
        <f aca="false">IF($H472="","",INDEX(Задачи!$B$1:$B$501,$H472)&amp;"")</f>
        <v/>
      </c>
      <c r="D472" s="39" t="str">
        <f aca="false">IF($H472="","",INDEX(Задачи!$C$1:$C$501,$H472)&amp;"")</f>
        <v/>
      </c>
      <c r="E472" s="41" t="str">
        <f aca="false">IF($H472="","",IF(INDEX(Задачи!$E$1:$E$501,$H472)="","",INDEX(Задачи!$E$1:$E$501,$H472)))</f>
        <v/>
      </c>
      <c r="F472" s="41" t="str">
        <f aca="false">IF($H472="","",IF(INDEX(Задачи!$F$1:$F$501,$H472)="","",INDEX(Задачи!$F$1:$F$501,$H472)))</f>
        <v/>
      </c>
      <c r="G472" s="40" t="str">
        <f aca="false">IF($H472="","",INDEX(Задачи!$I$1:$I$501,$H472)&amp;"")</f>
        <v/>
      </c>
      <c r="H472" s="20" t="str">
        <f aca="false">IFERROR(MOD(LARGE(Задачи!$P$2:$P$501,ROWS(H$5:H472)),1000),"")</f>
        <v/>
      </c>
    </row>
    <row r="473" customFormat="false" ht="30" hidden="false" customHeight="true" outlineLevel="0" collapsed="false">
      <c r="A473" s="39" t="str">
        <f aca="false">IF($H473="","",ROWS(A$5:A473))</f>
        <v/>
      </c>
      <c r="B473" s="40" t="str">
        <f aca="false">IF($H473="","",INDEX(Задачи!$A$1:$A$501,$H473)&amp;"")</f>
        <v/>
      </c>
      <c r="C473" s="40" t="str">
        <f aca="false">IF($H473="","",INDEX(Задачи!$B$1:$B$501,$H473)&amp;"")</f>
        <v/>
      </c>
      <c r="D473" s="39" t="str">
        <f aca="false">IF($H473="","",INDEX(Задачи!$C$1:$C$501,$H473)&amp;"")</f>
        <v/>
      </c>
      <c r="E473" s="41" t="str">
        <f aca="false">IF($H473="","",IF(INDEX(Задачи!$E$1:$E$501,$H473)="","",INDEX(Задачи!$E$1:$E$501,$H473)))</f>
        <v/>
      </c>
      <c r="F473" s="41" t="str">
        <f aca="false">IF($H473="","",IF(INDEX(Задачи!$F$1:$F$501,$H473)="","",INDEX(Задачи!$F$1:$F$501,$H473)))</f>
        <v/>
      </c>
      <c r="G473" s="40" t="str">
        <f aca="false">IF($H473="","",INDEX(Задачи!$I$1:$I$501,$H473)&amp;"")</f>
        <v/>
      </c>
      <c r="H473" s="20" t="str">
        <f aca="false">IFERROR(MOD(LARGE(Задачи!$P$2:$P$501,ROWS(H$5:H473)),1000),"")</f>
        <v/>
      </c>
    </row>
    <row r="474" customFormat="false" ht="30" hidden="false" customHeight="true" outlineLevel="0" collapsed="false">
      <c r="A474" s="39" t="str">
        <f aca="false">IF($H474="","",ROWS(A$5:A474))</f>
        <v/>
      </c>
      <c r="B474" s="40" t="str">
        <f aca="false">IF($H474="","",INDEX(Задачи!$A$1:$A$501,$H474)&amp;"")</f>
        <v/>
      </c>
      <c r="C474" s="40" t="str">
        <f aca="false">IF($H474="","",INDEX(Задачи!$B$1:$B$501,$H474)&amp;"")</f>
        <v/>
      </c>
      <c r="D474" s="39" t="str">
        <f aca="false">IF($H474="","",INDEX(Задачи!$C$1:$C$501,$H474)&amp;"")</f>
        <v/>
      </c>
      <c r="E474" s="41" t="str">
        <f aca="false">IF($H474="","",IF(INDEX(Задачи!$E$1:$E$501,$H474)="","",INDEX(Задачи!$E$1:$E$501,$H474)))</f>
        <v/>
      </c>
      <c r="F474" s="41" t="str">
        <f aca="false">IF($H474="","",IF(INDEX(Задачи!$F$1:$F$501,$H474)="","",INDEX(Задачи!$F$1:$F$501,$H474)))</f>
        <v/>
      </c>
      <c r="G474" s="40" t="str">
        <f aca="false">IF($H474="","",INDEX(Задачи!$I$1:$I$501,$H474)&amp;"")</f>
        <v/>
      </c>
      <c r="H474" s="20" t="str">
        <f aca="false">IFERROR(MOD(LARGE(Задачи!$P$2:$P$501,ROWS(H$5:H474)),1000),"")</f>
        <v/>
      </c>
    </row>
    <row r="475" customFormat="false" ht="30" hidden="false" customHeight="true" outlineLevel="0" collapsed="false">
      <c r="A475" s="39" t="str">
        <f aca="false">IF($H475="","",ROWS(A$5:A475))</f>
        <v/>
      </c>
      <c r="B475" s="40" t="str">
        <f aca="false">IF($H475="","",INDEX(Задачи!$A$1:$A$501,$H475)&amp;"")</f>
        <v/>
      </c>
      <c r="C475" s="40" t="str">
        <f aca="false">IF($H475="","",INDEX(Задачи!$B$1:$B$501,$H475)&amp;"")</f>
        <v/>
      </c>
      <c r="D475" s="39" t="str">
        <f aca="false">IF($H475="","",INDEX(Задачи!$C$1:$C$501,$H475)&amp;"")</f>
        <v/>
      </c>
      <c r="E475" s="41" t="str">
        <f aca="false">IF($H475="","",IF(INDEX(Задачи!$E$1:$E$501,$H475)="","",INDEX(Задачи!$E$1:$E$501,$H475)))</f>
        <v/>
      </c>
      <c r="F475" s="41" t="str">
        <f aca="false">IF($H475="","",IF(INDEX(Задачи!$F$1:$F$501,$H475)="","",INDEX(Задачи!$F$1:$F$501,$H475)))</f>
        <v/>
      </c>
      <c r="G475" s="40" t="str">
        <f aca="false">IF($H475="","",INDEX(Задачи!$I$1:$I$501,$H475)&amp;"")</f>
        <v/>
      </c>
      <c r="H475" s="20" t="str">
        <f aca="false">IFERROR(MOD(LARGE(Задачи!$P$2:$P$501,ROWS(H$5:H475)),1000),"")</f>
        <v/>
      </c>
    </row>
    <row r="476" customFormat="false" ht="30" hidden="false" customHeight="true" outlineLevel="0" collapsed="false">
      <c r="A476" s="39" t="str">
        <f aca="false">IF($H476="","",ROWS(A$5:A476))</f>
        <v/>
      </c>
      <c r="B476" s="40" t="str">
        <f aca="false">IF($H476="","",INDEX(Задачи!$A$1:$A$501,$H476)&amp;"")</f>
        <v/>
      </c>
      <c r="C476" s="40" t="str">
        <f aca="false">IF($H476="","",INDEX(Задачи!$B$1:$B$501,$H476)&amp;"")</f>
        <v/>
      </c>
      <c r="D476" s="39" t="str">
        <f aca="false">IF($H476="","",INDEX(Задачи!$C$1:$C$501,$H476)&amp;"")</f>
        <v/>
      </c>
      <c r="E476" s="41" t="str">
        <f aca="false">IF($H476="","",IF(INDEX(Задачи!$E$1:$E$501,$H476)="","",INDEX(Задачи!$E$1:$E$501,$H476)))</f>
        <v/>
      </c>
      <c r="F476" s="41" t="str">
        <f aca="false">IF($H476="","",IF(INDEX(Задачи!$F$1:$F$501,$H476)="","",INDEX(Задачи!$F$1:$F$501,$H476)))</f>
        <v/>
      </c>
      <c r="G476" s="40" t="str">
        <f aca="false">IF($H476="","",INDEX(Задачи!$I$1:$I$501,$H476)&amp;"")</f>
        <v/>
      </c>
      <c r="H476" s="20" t="str">
        <f aca="false">IFERROR(MOD(LARGE(Задачи!$P$2:$P$501,ROWS(H$5:H476)),1000),"")</f>
        <v/>
      </c>
    </row>
    <row r="477" customFormat="false" ht="30" hidden="false" customHeight="true" outlineLevel="0" collapsed="false">
      <c r="A477" s="39" t="str">
        <f aca="false">IF($H477="","",ROWS(A$5:A477))</f>
        <v/>
      </c>
      <c r="B477" s="40" t="str">
        <f aca="false">IF($H477="","",INDEX(Задачи!$A$1:$A$501,$H477)&amp;"")</f>
        <v/>
      </c>
      <c r="C477" s="40" t="str">
        <f aca="false">IF($H477="","",INDEX(Задачи!$B$1:$B$501,$H477)&amp;"")</f>
        <v/>
      </c>
      <c r="D477" s="39" t="str">
        <f aca="false">IF($H477="","",INDEX(Задачи!$C$1:$C$501,$H477)&amp;"")</f>
        <v/>
      </c>
      <c r="E477" s="41" t="str">
        <f aca="false">IF($H477="","",IF(INDEX(Задачи!$E$1:$E$501,$H477)="","",INDEX(Задачи!$E$1:$E$501,$H477)))</f>
        <v/>
      </c>
      <c r="F477" s="41" t="str">
        <f aca="false">IF($H477="","",IF(INDEX(Задачи!$F$1:$F$501,$H477)="","",INDEX(Задачи!$F$1:$F$501,$H477)))</f>
        <v/>
      </c>
      <c r="G477" s="40" t="str">
        <f aca="false">IF($H477="","",INDEX(Задачи!$I$1:$I$501,$H477)&amp;"")</f>
        <v/>
      </c>
      <c r="H477" s="20" t="str">
        <f aca="false">IFERROR(MOD(LARGE(Задачи!$P$2:$P$501,ROWS(H$5:H477)),1000),"")</f>
        <v/>
      </c>
    </row>
    <row r="478" customFormat="false" ht="30" hidden="false" customHeight="true" outlineLevel="0" collapsed="false">
      <c r="A478" s="39" t="str">
        <f aca="false">IF($H478="","",ROWS(A$5:A478))</f>
        <v/>
      </c>
      <c r="B478" s="40" t="str">
        <f aca="false">IF($H478="","",INDEX(Задачи!$A$1:$A$501,$H478)&amp;"")</f>
        <v/>
      </c>
      <c r="C478" s="40" t="str">
        <f aca="false">IF($H478="","",INDEX(Задачи!$B$1:$B$501,$H478)&amp;"")</f>
        <v/>
      </c>
      <c r="D478" s="39" t="str">
        <f aca="false">IF($H478="","",INDEX(Задачи!$C$1:$C$501,$H478)&amp;"")</f>
        <v/>
      </c>
      <c r="E478" s="41" t="str">
        <f aca="false">IF($H478="","",IF(INDEX(Задачи!$E$1:$E$501,$H478)="","",INDEX(Задачи!$E$1:$E$501,$H478)))</f>
        <v/>
      </c>
      <c r="F478" s="41" t="str">
        <f aca="false">IF($H478="","",IF(INDEX(Задачи!$F$1:$F$501,$H478)="","",INDEX(Задачи!$F$1:$F$501,$H478)))</f>
        <v/>
      </c>
      <c r="G478" s="40" t="str">
        <f aca="false">IF($H478="","",INDEX(Задачи!$I$1:$I$501,$H478)&amp;"")</f>
        <v/>
      </c>
      <c r="H478" s="20" t="str">
        <f aca="false">IFERROR(MOD(LARGE(Задачи!$P$2:$P$501,ROWS(H$5:H478)),1000),"")</f>
        <v/>
      </c>
    </row>
    <row r="479" customFormat="false" ht="30" hidden="false" customHeight="true" outlineLevel="0" collapsed="false">
      <c r="A479" s="39" t="str">
        <f aca="false">IF($H479="","",ROWS(A$5:A479))</f>
        <v/>
      </c>
      <c r="B479" s="40" t="str">
        <f aca="false">IF($H479="","",INDEX(Задачи!$A$1:$A$501,$H479)&amp;"")</f>
        <v/>
      </c>
      <c r="C479" s="40" t="str">
        <f aca="false">IF($H479="","",INDEX(Задачи!$B$1:$B$501,$H479)&amp;"")</f>
        <v/>
      </c>
      <c r="D479" s="39" t="str">
        <f aca="false">IF($H479="","",INDEX(Задачи!$C$1:$C$501,$H479)&amp;"")</f>
        <v/>
      </c>
      <c r="E479" s="41" t="str">
        <f aca="false">IF($H479="","",IF(INDEX(Задачи!$E$1:$E$501,$H479)="","",INDEX(Задачи!$E$1:$E$501,$H479)))</f>
        <v/>
      </c>
      <c r="F479" s="41" t="str">
        <f aca="false">IF($H479="","",IF(INDEX(Задачи!$F$1:$F$501,$H479)="","",INDEX(Задачи!$F$1:$F$501,$H479)))</f>
        <v/>
      </c>
      <c r="G479" s="40" t="str">
        <f aca="false">IF($H479="","",INDEX(Задачи!$I$1:$I$501,$H479)&amp;"")</f>
        <v/>
      </c>
      <c r="H479" s="20" t="str">
        <f aca="false">IFERROR(MOD(LARGE(Задачи!$P$2:$P$501,ROWS(H$5:H479)),1000),"")</f>
        <v/>
      </c>
    </row>
    <row r="480" customFormat="false" ht="30" hidden="false" customHeight="true" outlineLevel="0" collapsed="false">
      <c r="A480" s="39" t="str">
        <f aca="false">IF($H480="","",ROWS(A$5:A480))</f>
        <v/>
      </c>
      <c r="B480" s="40" t="str">
        <f aca="false">IF($H480="","",INDEX(Задачи!$A$1:$A$501,$H480)&amp;"")</f>
        <v/>
      </c>
      <c r="C480" s="40" t="str">
        <f aca="false">IF($H480="","",INDEX(Задачи!$B$1:$B$501,$H480)&amp;"")</f>
        <v/>
      </c>
      <c r="D480" s="39" t="str">
        <f aca="false">IF($H480="","",INDEX(Задачи!$C$1:$C$501,$H480)&amp;"")</f>
        <v/>
      </c>
      <c r="E480" s="41" t="str">
        <f aca="false">IF($H480="","",IF(INDEX(Задачи!$E$1:$E$501,$H480)="","",INDEX(Задачи!$E$1:$E$501,$H480)))</f>
        <v/>
      </c>
      <c r="F480" s="41" t="str">
        <f aca="false">IF($H480="","",IF(INDEX(Задачи!$F$1:$F$501,$H480)="","",INDEX(Задачи!$F$1:$F$501,$H480)))</f>
        <v/>
      </c>
      <c r="G480" s="40" t="str">
        <f aca="false">IF($H480="","",INDEX(Задачи!$I$1:$I$501,$H480)&amp;"")</f>
        <v/>
      </c>
      <c r="H480" s="20" t="str">
        <f aca="false">IFERROR(MOD(LARGE(Задачи!$P$2:$P$501,ROWS(H$5:H480)),1000),"")</f>
        <v/>
      </c>
    </row>
    <row r="481" customFormat="false" ht="30" hidden="false" customHeight="true" outlineLevel="0" collapsed="false">
      <c r="A481" s="39" t="str">
        <f aca="false">IF($H481="","",ROWS(A$5:A481))</f>
        <v/>
      </c>
      <c r="B481" s="40" t="str">
        <f aca="false">IF($H481="","",INDEX(Задачи!$A$1:$A$501,$H481)&amp;"")</f>
        <v/>
      </c>
      <c r="C481" s="40" t="str">
        <f aca="false">IF($H481="","",INDEX(Задачи!$B$1:$B$501,$H481)&amp;"")</f>
        <v/>
      </c>
      <c r="D481" s="39" t="str">
        <f aca="false">IF($H481="","",INDEX(Задачи!$C$1:$C$501,$H481)&amp;"")</f>
        <v/>
      </c>
      <c r="E481" s="41" t="str">
        <f aca="false">IF($H481="","",IF(INDEX(Задачи!$E$1:$E$501,$H481)="","",INDEX(Задачи!$E$1:$E$501,$H481)))</f>
        <v/>
      </c>
      <c r="F481" s="41" t="str">
        <f aca="false">IF($H481="","",IF(INDEX(Задачи!$F$1:$F$501,$H481)="","",INDEX(Задачи!$F$1:$F$501,$H481)))</f>
        <v/>
      </c>
      <c r="G481" s="40" t="str">
        <f aca="false">IF($H481="","",INDEX(Задачи!$I$1:$I$501,$H481)&amp;"")</f>
        <v/>
      </c>
      <c r="H481" s="20" t="str">
        <f aca="false">IFERROR(MOD(LARGE(Задачи!$P$2:$P$501,ROWS(H$5:H481)),1000),"")</f>
        <v/>
      </c>
    </row>
    <row r="482" customFormat="false" ht="30" hidden="false" customHeight="true" outlineLevel="0" collapsed="false">
      <c r="A482" s="39" t="str">
        <f aca="false">IF($H482="","",ROWS(A$5:A482))</f>
        <v/>
      </c>
      <c r="B482" s="40" t="str">
        <f aca="false">IF($H482="","",INDEX(Задачи!$A$1:$A$501,$H482)&amp;"")</f>
        <v/>
      </c>
      <c r="C482" s="40" t="str">
        <f aca="false">IF($H482="","",INDEX(Задачи!$B$1:$B$501,$H482)&amp;"")</f>
        <v/>
      </c>
      <c r="D482" s="39" t="str">
        <f aca="false">IF($H482="","",INDEX(Задачи!$C$1:$C$501,$H482)&amp;"")</f>
        <v/>
      </c>
      <c r="E482" s="41" t="str">
        <f aca="false">IF($H482="","",IF(INDEX(Задачи!$E$1:$E$501,$H482)="","",INDEX(Задачи!$E$1:$E$501,$H482)))</f>
        <v/>
      </c>
      <c r="F482" s="41" t="str">
        <f aca="false">IF($H482="","",IF(INDEX(Задачи!$F$1:$F$501,$H482)="","",INDEX(Задачи!$F$1:$F$501,$H482)))</f>
        <v/>
      </c>
      <c r="G482" s="40" t="str">
        <f aca="false">IF($H482="","",INDEX(Задачи!$I$1:$I$501,$H482)&amp;"")</f>
        <v/>
      </c>
      <c r="H482" s="20" t="str">
        <f aca="false">IFERROR(MOD(LARGE(Задачи!$P$2:$P$501,ROWS(H$5:H482)),1000),"")</f>
        <v/>
      </c>
    </row>
    <row r="483" customFormat="false" ht="30" hidden="false" customHeight="true" outlineLevel="0" collapsed="false">
      <c r="A483" s="39" t="str">
        <f aca="false">IF($H483="","",ROWS(A$5:A483))</f>
        <v/>
      </c>
      <c r="B483" s="40" t="str">
        <f aca="false">IF($H483="","",INDEX(Задачи!$A$1:$A$501,$H483)&amp;"")</f>
        <v/>
      </c>
      <c r="C483" s="40" t="str">
        <f aca="false">IF($H483="","",INDEX(Задачи!$B$1:$B$501,$H483)&amp;"")</f>
        <v/>
      </c>
      <c r="D483" s="39" t="str">
        <f aca="false">IF($H483="","",INDEX(Задачи!$C$1:$C$501,$H483)&amp;"")</f>
        <v/>
      </c>
      <c r="E483" s="41" t="str">
        <f aca="false">IF($H483="","",IF(INDEX(Задачи!$E$1:$E$501,$H483)="","",INDEX(Задачи!$E$1:$E$501,$H483)))</f>
        <v/>
      </c>
      <c r="F483" s="41" t="str">
        <f aca="false">IF($H483="","",IF(INDEX(Задачи!$F$1:$F$501,$H483)="","",INDEX(Задачи!$F$1:$F$501,$H483)))</f>
        <v/>
      </c>
      <c r="G483" s="40" t="str">
        <f aca="false">IF($H483="","",INDEX(Задачи!$I$1:$I$501,$H483)&amp;"")</f>
        <v/>
      </c>
      <c r="H483" s="20" t="str">
        <f aca="false">IFERROR(MOD(LARGE(Задачи!$P$2:$P$501,ROWS(H$5:H483)),1000),"")</f>
        <v/>
      </c>
    </row>
    <row r="484" customFormat="false" ht="30" hidden="false" customHeight="true" outlineLevel="0" collapsed="false">
      <c r="A484" s="39" t="str">
        <f aca="false">IF($H484="","",ROWS(A$5:A484))</f>
        <v/>
      </c>
      <c r="B484" s="40" t="str">
        <f aca="false">IF($H484="","",INDEX(Задачи!$A$1:$A$501,$H484)&amp;"")</f>
        <v/>
      </c>
      <c r="C484" s="40" t="str">
        <f aca="false">IF($H484="","",INDEX(Задачи!$B$1:$B$501,$H484)&amp;"")</f>
        <v/>
      </c>
      <c r="D484" s="39" t="str">
        <f aca="false">IF($H484="","",INDEX(Задачи!$C$1:$C$501,$H484)&amp;"")</f>
        <v/>
      </c>
      <c r="E484" s="41" t="str">
        <f aca="false">IF($H484="","",IF(INDEX(Задачи!$E$1:$E$501,$H484)="","",INDEX(Задачи!$E$1:$E$501,$H484)))</f>
        <v/>
      </c>
      <c r="F484" s="41" t="str">
        <f aca="false">IF($H484="","",IF(INDEX(Задачи!$F$1:$F$501,$H484)="","",INDEX(Задачи!$F$1:$F$501,$H484)))</f>
        <v/>
      </c>
      <c r="G484" s="40" t="str">
        <f aca="false">IF($H484="","",INDEX(Задачи!$I$1:$I$501,$H484)&amp;"")</f>
        <v/>
      </c>
      <c r="H484" s="20" t="str">
        <f aca="false">IFERROR(MOD(LARGE(Задачи!$P$2:$P$501,ROWS(H$5:H484)),1000),"")</f>
        <v/>
      </c>
    </row>
    <row r="485" customFormat="false" ht="30" hidden="false" customHeight="true" outlineLevel="0" collapsed="false">
      <c r="A485" s="39" t="str">
        <f aca="false">IF($H485="","",ROWS(A$5:A485))</f>
        <v/>
      </c>
      <c r="B485" s="40" t="str">
        <f aca="false">IF($H485="","",INDEX(Задачи!$A$1:$A$501,$H485)&amp;"")</f>
        <v/>
      </c>
      <c r="C485" s="40" t="str">
        <f aca="false">IF($H485="","",INDEX(Задачи!$B$1:$B$501,$H485)&amp;"")</f>
        <v/>
      </c>
      <c r="D485" s="39" t="str">
        <f aca="false">IF($H485="","",INDEX(Задачи!$C$1:$C$501,$H485)&amp;"")</f>
        <v/>
      </c>
      <c r="E485" s="41" t="str">
        <f aca="false">IF($H485="","",IF(INDEX(Задачи!$E$1:$E$501,$H485)="","",INDEX(Задачи!$E$1:$E$501,$H485)))</f>
        <v/>
      </c>
      <c r="F485" s="41" t="str">
        <f aca="false">IF($H485="","",IF(INDEX(Задачи!$F$1:$F$501,$H485)="","",INDEX(Задачи!$F$1:$F$501,$H485)))</f>
        <v/>
      </c>
      <c r="G485" s="40" t="str">
        <f aca="false">IF($H485="","",INDEX(Задачи!$I$1:$I$501,$H485)&amp;"")</f>
        <v/>
      </c>
      <c r="H485" s="20" t="str">
        <f aca="false">IFERROR(MOD(LARGE(Задачи!$P$2:$P$501,ROWS(H$5:H485)),1000),"")</f>
        <v/>
      </c>
    </row>
    <row r="486" customFormat="false" ht="30" hidden="false" customHeight="true" outlineLevel="0" collapsed="false">
      <c r="A486" s="39" t="str">
        <f aca="false">IF($H486="","",ROWS(A$5:A486))</f>
        <v/>
      </c>
      <c r="B486" s="40" t="str">
        <f aca="false">IF($H486="","",INDEX(Задачи!$A$1:$A$501,$H486)&amp;"")</f>
        <v/>
      </c>
      <c r="C486" s="40" t="str">
        <f aca="false">IF($H486="","",INDEX(Задачи!$B$1:$B$501,$H486)&amp;"")</f>
        <v/>
      </c>
      <c r="D486" s="39" t="str">
        <f aca="false">IF($H486="","",INDEX(Задачи!$C$1:$C$501,$H486)&amp;"")</f>
        <v/>
      </c>
      <c r="E486" s="41" t="str">
        <f aca="false">IF($H486="","",IF(INDEX(Задачи!$E$1:$E$501,$H486)="","",INDEX(Задачи!$E$1:$E$501,$H486)))</f>
        <v/>
      </c>
      <c r="F486" s="41" t="str">
        <f aca="false">IF($H486="","",IF(INDEX(Задачи!$F$1:$F$501,$H486)="","",INDEX(Задачи!$F$1:$F$501,$H486)))</f>
        <v/>
      </c>
      <c r="G486" s="40" t="str">
        <f aca="false">IF($H486="","",INDEX(Задачи!$I$1:$I$501,$H486)&amp;"")</f>
        <v/>
      </c>
      <c r="H486" s="20" t="str">
        <f aca="false">IFERROR(MOD(LARGE(Задачи!$P$2:$P$501,ROWS(H$5:H486)),1000),"")</f>
        <v/>
      </c>
    </row>
    <row r="487" customFormat="false" ht="30" hidden="false" customHeight="true" outlineLevel="0" collapsed="false">
      <c r="A487" s="39" t="str">
        <f aca="false">IF($H487="","",ROWS(A$5:A487))</f>
        <v/>
      </c>
      <c r="B487" s="40" t="str">
        <f aca="false">IF($H487="","",INDEX(Задачи!$A$1:$A$501,$H487)&amp;"")</f>
        <v/>
      </c>
      <c r="C487" s="40" t="str">
        <f aca="false">IF($H487="","",INDEX(Задачи!$B$1:$B$501,$H487)&amp;"")</f>
        <v/>
      </c>
      <c r="D487" s="39" t="str">
        <f aca="false">IF($H487="","",INDEX(Задачи!$C$1:$C$501,$H487)&amp;"")</f>
        <v/>
      </c>
      <c r="E487" s="41" t="str">
        <f aca="false">IF($H487="","",IF(INDEX(Задачи!$E$1:$E$501,$H487)="","",INDEX(Задачи!$E$1:$E$501,$H487)))</f>
        <v/>
      </c>
      <c r="F487" s="41" t="str">
        <f aca="false">IF($H487="","",IF(INDEX(Задачи!$F$1:$F$501,$H487)="","",INDEX(Задачи!$F$1:$F$501,$H487)))</f>
        <v/>
      </c>
      <c r="G487" s="40" t="str">
        <f aca="false">IF($H487="","",INDEX(Задачи!$I$1:$I$501,$H487)&amp;"")</f>
        <v/>
      </c>
      <c r="H487" s="20" t="str">
        <f aca="false">IFERROR(MOD(LARGE(Задачи!$P$2:$P$501,ROWS(H$5:H487)),1000),"")</f>
        <v/>
      </c>
    </row>
    <row r="488" customFormat="false" ht="30" hidden="false" customHeight="true" outlineLevel="0" collapsed="false">
      <c r="A488" s="39" t="str">
        <f aca="false">IF($H488="","",ROWS(A$5:A488))</f>
        <v/>
      </c>
      <c r="B488" s="40" t="str">
        <f aca="false">IF($H488="","",INDEX(Задачи!$A$1:$A$501,$H488)&amp;"")</f>
        <v/>
      </c>
      <c r="C488" s="40" t="str">
        <f aca="false">IF($H488="","",INDEX(Задачи!$B$1:$B$501,$H488)&amp;"")</f>
        <v/>
      </c>
      <c r="D488" s="39" t="str">
        <f aca="false">IF($H488="","",INDEX(Задачи!$C$1:$C$501,$H488)&amp;"")</f>
        <v/>
      </c>
      <c r="E488" s="41" t="str">
        <f aca="false">IF($H488="","",IF(INDEX(Задачи!$E$1:$E$501,$H488)="","",INDEX(Задачи!$E$1:$E$501,$H488)))</f>
        <v/>
      </c>
      <c r="F488" s="41" t="str">
        <f aca="false">IF($H488="","",IF(INDEX(Задачи!$F$1:$F$501,$H488)="","",INDEX(Задачи!$F$1:$F$501,$H488)))</f>
        <v/>
      </c>
      <c r="G488" s="40" t="str">
        <f aca="false">IF($H488="","",INDEX(Задачи!$I$1:$I$501,$H488)&amp;"")</f>
        <v/>
      </c>
      <c r="H488" s="20" t="str">
        <f aca="false">IFERROR(MOD(LARGE(Задачи!$P$2:$P$501,ROWS(H$5:H488)),1000),"")</f>
        <v/>
      </c>
    </row>
    <row r="489" customFormat="false" ht="30" hidden="false" customHeight="true" outlineLevel="0" collapsed="false">
      <c r="A489" s="39" t="str">
        <f aca="false">IF($H489="","",ROWS(A$5:A489))</f>
        <v/>
      </c>
      <c r="B489" s="40" t="str">
        <f aca="false">IF($H489="","",INDEX(Задачи!$A$1:$A$501,$H489)&amp;"")</f>
        <v/>
      </c>
      <c r="C489" s="40" t="str">
        <f aca="false">IF($H489="","",INDEX(Задачи!$B$1:$B$501,$H489)&amp;"")</f>
        <v/>
      </c>
      <c r="D489" s="39" t="str">
        <f aca="false">IF($H489="","",INDEX(Задачи!$C$1:$C$501,$H489)&amp;"")</f>
        <v/>
      </c>
      <c r="E489" s="41" t="str">
        <f aca="false">IF($H489="","",IF(INDEX(Задачи!$E$1:$E$501,$H489)="","",INDEX(Задачи!$E$1:$E$501,$H489)))</f>
        <v/>
      </c>
      <c r="F489" s="41" t="str">
        <f aca="false">IF($H489="","",IF(INDEX(Задачи!$F$1:$F$501,$H489)="","",INDEX(Задачи!$F$1:$F$501,$H489)))</f>
        <v/>
      </c>
      <c r="G489" s="40" t="str">
        <f aca="false">IF($H489="","",INDEX(Задачи!$I$1:$I$501,$H489)&amp;"")</f>
        <v/>
      </c>
      <c r="H489" s="20" t="str">
        <f aca="false">IFERROR(MOD(LARGE(Задачи!$P$2:$P$501,ROWS(H$5:H489)),1000),"")</f>
        <v/>
      </c>
    </row>
    <row r="490" customFormat="false" ht="30" hidden="false" customHeight="true" outlineLevel="0" collapsed="false">
      <c r="A490" s="39" t="str">
        <f aca="false">IF($H490="","",ROWS(A$5:A490))</f>
        <v/>
      </c>
      <c r="B490" s="40" t="str">
        <f aca="false">IF($H490="","",INDEX(Задачи!$A$1:$A$501,$H490)&amp;"")</f>
        <v/>
      </c>
      <c r="C490" s="40" t="str">
        <f aca="false">IF($H490="","",INDEX(Задачи!$B$1:$B$501,$H490)&amp;"")</f>
        <v/>
      </c>
      <c r="D490" s="39" t="str">
        <f aca="false">IF($H490="","",INDEX(Задачи!$C$1:$C$501,$H490)&amp;"")</f>
        <v/>
      </c>
      <c r="E490" s="41" t="str">
        <f aca="false">IF($H490="","",IF(INDEX(Задачи!$E$1:$E$501,$H490)="","",INDEX(Задачи!$E$1:$E$501,$H490)))</f>
        <v/>
      </c>
      <c r="F490" s="41" t="str">
        <f aca="false">IF($H490="","",IF(INDEX(Задачи!$F$1:$F$501,$H490)="","",INDEX(Задачи!$F$1:$F$501,$H490)))</f>
        <v/>
      </c>
      <c r="G490" s="40" t="str">
        <f aca="false">IF($H490="","",INDEX(Задачи!$I$1:$I$501,$H490)&amp;"")</f>
        <v/>
      </c>
      <c r="H490" s="20" t="str">
        <f aca="false">IFERROR(MOD(LARGE(Задачи!$P$2:$P$501,ROWS(H$5:H490)),1000),"")</f>
        <v/>
      </c>
    </row>
    <row r="491" customFormat="false" ht="30" hidden="false" customHeight="true" outlineLevel="0" collapsed="false">
      <c r="A491" s="39" t="str">
        <f aca="false">IF($H491="","",ROWS(A$5:A491))</f>
        <v/>
      </c>
      <c r="B491" s="40" t="str">
        <f aca="false">IF($H491="","",INDEX(Задачи!$A$1:$A$501,$H491)&amp;"")</f>
        <v/>
      </c>
      <c r="C491" s="40" t="str">
        <f aca="false">IF($H491="","",INDEX(Задачи!$B$1:$B$501,$H491)&amp;"")</f>
        <v/>
      </c>
      <c r="D491" s="39" t="str">
        <f aca="false">IF($H491="","",INDEX(Задачи!$C$1:$C$501,$H491)&amp;"")</f>
        <v/>
      </c>
      <c r="E491" s="41" t="str">
        <f aca="false">IF($H491="","",IF(INDEX(Задачи!$E$1:$E$501,$H491)="","",INDEX(Задачи!$E$1:$E$501,$H491)))</f>
        <v/>
      </c>
      <c r="F491" s="41" t="str">
        <f aca="false">IF($H491="","",IF(INDEX(Задачи!$F$1:$F$501,$H491)="","",INDEX(Задачи!$F$1:$F$501,$H491)))</f>
        <v/>
      </c>
      <c r="G491" s="40" t="str">
        <f aca="false">IF($H491="","",INDEX(Задачи!$I$1:$I$501,$H491)&amp;"")</f>
        <v/>
      </c>
      <c r="H491" s="20" t="str">
        <f aca="false">IFERROR(MOD(LARGE(Задачи!$P$2:$P$501,ROWS(H$5:H491)),1000),"")</f>
        <v/>
      </c>
    </row>
    <row r="492" customFormat="false" ht="30" hidden="false" customHeight="true" outlineLevel="0" collapsed="false">
      <c r="A492" s="39" t="str">
        <f aca="false">IF($H492="","",ROWS(A$5:A492))</f>
        <v/>
      </c>
      <c r="B492" s="40" t="str">
        <f aca="false">IF($H492="","",INDEX(Задачи!$A$1:$A$501,$H492)&amp;"")</f>
        <v/>
      </c>
      <c r="C492" s="40" t="str">
        <f aca="false">IF($H492="","",INDEX(Задачи!$B$1:$B$501,$H492)&amp;"")</f>
        <v/>
      </c>
      <c r="D492" s="39" t="str">
        <f aca="false">IF($H492="","",INDEX(Задачи!$C$1:$C$501,$H492)&amp;"")</f>
        <v/>
      </c>
      <c r="E492" s="41" t="str">
        <f aca="false">IF($H492="","",IF(INDEX(Задачи!$E$1:$E$501,$H492)="","",INDEX(Задачи!$E$1:$E$501,$H492)))</f>
        <v/>
      </c>
      <c r="F492" s="41" t="str">
        <f aca="false">IF($H492="","",IF(INDEX(Задачи!$F$1:$F$501,$H492)="","",INDEX(Задачи!$F$1:$F$501,$H492)))</f>
        <v/>
      </c>
      <c r="G492" s="40" t="str">
        <f aca="false">IF($H492="","",INDEX(Задачи!$I$1:$I$501,$H492)&amp;"")</f>
        <v/>
      </c>
      <c r="H492" s="20" t="str">
        <f aca="false">IFERROR(MOD(LARGE(Задачи!$P$2:$P$501,ROWS(H$5:H492)),1000),"")</f>
        <v/>
      </c>
    </row>
    <row r="493" customFormat="false" ht="30" hidden="false" customHeight="true" outlineLevel="0" collapsed="false">
      <c r="A493" s="39" t="str">
        <f aca="false">IF($H493="","",ROWS(A$5:A493))</f>
        <v/>
      </c>
      <c r="B493" s="40" t="str">
        <f aca="false">IF($H493="","",INDEX(Задачи!$A$1:$A$501,$H493)&amp;"")</f>
        <v/>
      </c>
      <c r="C493" s="40" t="str">
        <f aca="false">IF($H493="","",INDEX(Задачи!$B$1:$B$501,$H493)&amp;"")</f>
        <v/>
      </c>
      <c r="D493" s="39" t="str">
        <f aca="false">IF($H493="","",INDEX(Задачи!$C$1:$C$501,$H493)&amp;"")</f>
        <v/>
      </c>
      <c r="E493" s="41" t="str">
        <f aca="false">IF($H493="","",IF(INDEX(Задачи!$E$1:$E$501,$H493)="","",INDEX(Задачи!$E$1:$E$501,$H493)))</f>
        <v/>
      </c>
      <c r="F493" s="41" t="str">
        <f aca="false">IF($H493="","",IF(INDEX(Задачи!$F$1:$F$501,$H493)="","",INDEX(Задачи!$F$1:$F$501,$H493)))</f>
        <v/>
      </c>
      <c r="G493" s="40" t="str">
        <f aca="false">IF($H493="","",INDEX(Задачи!$I$1:$I$501,$H493)&amp;"")</f>
        <v/>
      </c>
      <c r="H493" s="20" t="str">
        <f aca="false">IFERROR(MOD(LARGE(Задачи!$P$2:$P$501,ROWS(H$5:H493)),1000),"")</f>
        <v/>
      </c>
    </row>
    <row r="494" customFormat="false" ht="30" hidden="false" customHeight="true" outlineLevel="0" collapsed="false">
      <c r="A494" s="39" t="str">
        <f aca="false">IF($H494="","",ROWS(A$5:A494))</f>
        <v/>
      </c>
      <c r="B494" s="40" t="str">
        <f aca="false">IF($H494="","",INDEX(Задачи!$A$1:$A$501,$H494)&amp;"")</f>
        <v/>
      </c>
      <c r="C494" s="40" t="str">
        <f aca="false">IF($H494="","",INDEX(Задачи!$B$1:$B$501,$H494)&amp;"")</f>
        <v/>
      </c>
      <c r="D494" s="39" t="str">
        <f aca="false">IF($H494="","",INDEX(Задачи!$C$1:$C$501,$H494)&amp;"")</f>
        <v/>
      </c>
      <c r="E494" s="41" t="str">
        <f aca="false">IF($H494="","",IF(INDEX(Задачи!$E$1:$E$501,$H494)="","",INDEX(Задачи!$E$1:$E$501,$H494)))</f>
        <v/>
      </c>
      <c r="F494" s="41" t="str">
        <f aca="false">IF($H494="","",IF(INDEX(Задачи!$F$1:$F$501,$H494)="","",INDEX(Задачи!$F$1:$F$501,$H494)))</f>
        <v/>
      </c>
      <c r="G494" s="40" t="str">
        <f aca="false">IF($H494="","",INDEX(Задачи!$I$1:$I$501,$H494)&amp;"")</f>
        <v/>
      </c>
      <c r="H494" s="20" t="str">
        <f aca="false">IFERROR(MOD(LARGE(Задачи!$P$2:$P$501,ROWS(H$5:H494)),1000),"")</f>
        <v/>
      </c>
    </row>
    <row r="495" customFormat="false" ht="30" hidden="false" customHeight="true" outlineLevel="0" collapsed="false">
      <c r="A495" s="39" t="str">
        <f aca="false">IF($H495="","",ROWS(A$5:A495))</f>
        <v/>
      </c>
      <c r="B495" s="40" t="str">
        <f aca="false">IF($H495="","",INDEX(Задачи!$A$1:$A$501,$H495)&amp;"")</f>
        <v/>
      </c>
      <c r="C495" s="40" t="str">
        <f aca="false">IF($H495="","",INDEX(Задачи!$B$1:$B$501,$H495)&amp;"")</f>
        <v/>
      </c>
      <c r="D495" s="39" t="str">
        <f aca="false">IF($H495="","",INDEX(Задачи!$C$1:$C$501,$H495)&amp;"")</f>
        <v/>
      </c>
      <c r="E495" s="41" t="str">
        <f aca="false">IF($H495="","",IF(INDEX(Задачи!$E$1:$E$501,$H495)="","",INDEX(Задачи!$E$1:$E$501,$H495)))</f>
        <v/>
      </c>
      <c r="F495" s="41" t="str">
        <f aca="false">IF($H495="","",IF(INDEX(Задачи!$F$1:$F$501,$H495)="","",INDEX(Задачи!$F$1:$F$501,$H495)))</f>
        <v/>
      </c>
      <c r="G495" s="40" t="str">
        <f aca="false">IF($H495="","",INDEX(Задачи!$I$1:$I$501,$H495)&amp;"")</f>
        <v/>
      </c>
      <c r="H495" s="20" t="str">
        <f aca="false">IFERROR(MOD(LARGE(Задачи!$P$2:$P$501,ROWS(H$5:H495)),1000),"")</f>
        <v/>
      </c>
    </row>
    <row r="496" customFormat="false" ht="30" hidden="false" customHeight="true" outlineLevel="0" collapsed="false">
      <c r="A496" s="39" t="str">
        <f aca="false">IF($H496="","",ROWS(A$5:A496))</f>
        <v/>
      </c>
      <c r="B496" s="40" t="str">
        <f aca="false">IF($H496="","",INDEX(Задачи!$A$1:$A$501,$H496)&amp;"")</f>
        <v/>
      </c>
      <c r="C496" s="40" t="str">
        <f aca="false">IF($H496="","",INDEX(Задачи!$B$1:$B$501,$H496)&amp;"")</f>
        <v/>
      </c>
      <c r="D496" s="39" t="str">
        <f aca="false">IF($H496="","",INDEX(Задачи!$C$1:$C$501,$H496)&amp;"")</f>
        <v/>
      </c>
      <c r="E496" s="41" t="str">
        <f aca="false">IF($H496="","",IF(INDEX(Задачи!$E$1:$E$501,$H496)="","",INDEX(Задачи!$E$1:$E$501,$H496)))</f>
        <v/>
      </c>
      <c r="F496" s="41" t="str">
        <f aca="false">IF($H496="","",IF(INDEX(Задачи!$F$1:$F$501,$H496)="","",INDEX(Задачи!$F$1:$F$501,$H496)))</f>
        <v/>
      </c>
      <c r="G496" s="40" t="str">
        <f aca="false">IF($H496="","",INDEX(Задачи!$I$1:$I$501,$H496)&amp;"")</f>
        <v/>
      </c>
      <c r="H496" s="20" t="str">
        <f aca="false">IFERROR(MOD(LARGE(Задачи!$P$2:$P$501,ROWS(H$5:H496)),1000),"")</f>
        <v/>
      </c>
    </row>
    <row r="497" customFormat="false" ht="30" hidden="false" customHeight="true" outlineLevel="0" collapsed="false">
      <c r="A497" s="39" t="str">
        <f aca="false">IF($H497="","",ROWS(A$5:A497))</f>
        <v/>
      </c>
      <c r="B497" s="40" t="str">
        <f aca="false">IF($H497="","",INDEX(Задачи!$A$1:$A$501,$H497)&amp;"")</f>
        <v/>
      </c>
      <c r="C497" s="40" t="str">
        <f aca="false">IF($H497="","",INDEX(Задачи!$B$1:$B$501,$H497)&amp;"")</f>
        <v/>
      </c>
      <c r="D497" s="39" t="str">
        <f aca="false">IF($H497="","",INDEX(Задачи!$C$1:$C$501,$H497)&amp;"")</f>
        <v/>
      </c>
      <c r="E497" s="41" t="str">
        <f aca="false">IF($H497="","",IF(INDEX(Задачи!$E$1:$E$501,$H497)="","",INDEX(Задачи!$E$1:$E$501,$H497)))</f>
        <v/>
      </c>
      <c r="F497" s="41" t="str">
        <f aca="false">IF($H497="","",IF(INDEX(Задачи!$F$1:$F$501,$H497)="","",INDEX(Задачи!$F$1:$F$501,$H497)))</f>
        <v/>
      </c>
      <c r="G497" s="40" t="str">
        <f aca="false">IF($H497="","",INDEX(Задачи!$I$1:$I$501,$H497)&amp;"")</f>
        <v/>
      </c>
      <c r="H497" s="20" t="str">
        <f aca="false">IFERROR(MOD(LARGE(Задачи!$P$2:$P$501,ROWS(H$5:H497)),1000),"")</f>
        <v/>
      </c>
    </row>
    <row r="498" customFormat="false" ht="30" hidden="false" customHeight="true" outlineLevel="0" collapsed="false">
      <c r="A498" s="39" t="str">
        <f aca="false">IF($H498="","",ROWS(A$5:A498))</f>
        <v/>
      </c>
      <c r="B498" s="40" t="str">
        <f aca="false">IF($H498="","",INDEX(Задачи!$A$1:$A$501,$H498)&amp;"")</f>
        <v/>
      </c>
      <c r="C498" s="40" t="str">
        <f aca="false">IF($H498="","",INDEX(Задачи!$B$1:$B$501,$H498)&amp;"")</f>
        <v/>
      </c>
      <c r="D498" s="39" t="str">
        <f aca="false">IF($H498="","",INDEX(Задачи!$C$1:$C$501,$H498)&amp;"")</f>
        <v/>
      </c>
      <c r="E498" s="41" t="str">
        <f aca="false">IF($H498="","",IF(INDEX(Задачи!$E$1:$E$501,$H498)="","",INDEX(Задачи!$E$1:$E$501,$H498)))</f>
        <v/>
      </c>
      <c r="F498" s="41" t="str">
        <f aca="false">IF($H498="","",IF(INDEX(Задачи!$F$1:$F$501,$H498)="","",INDEX(Задачи!$F$1:$F$501,$H498)))</f>
        <v/>
      </c>
      <c r="G498" s="40" t="str">
        <f aca="false">IF($H498="","",INDEX(Задачи!$I$1:$I$501,$H498)&amp;"")</f>
        <v/>
      </c>
      <c r="H498" s="20" t="str">
        <f aca="false">IFERROR(MOD(LARGE(Задачи!$P$2:$P$501,ROWS(H$5:H498)),1000),"")</f>
        <v/>
      </c>
    </row>
    <row r="499" customFormat="false" ht="30" hidden="false" customHeight="true" outlineLevel="0" collapsed="false">
      <c r="A499" s="39" t="str">
        <f aca="false">IF($H499="","",ROWS(A$5:A499))</f>
        <v/>
      </c>
      <c r="B499" s="40" t="str">
        <f aca="false">IF($H499="","",INDEX(Задачи!$A$1:$A$501,$H499)&amp;"")</f>
        <v/>
      </c>
      <c r="C499" s="40" t="str">
        <f aca="false">IF($H499="","",INDEX(Задачи!$B$1:$B$501,$H499)&amp;"")</f>
        <v/>
      </c>
      <c r="D499" s="39" t="str">
        <f aca="false">IF($H499="","",INDEX(Задачи!$C$1:$C$501,$H499)&amp;"")</f>
        <v/>
      </c>
      <c r="E499" s="41" t="str">
        <f aca="false">IF($H499="","",IF(INDEX(Задачи!$E$1:$E$501,$H499)="","",INDEX(Задачи!$E$1:$E$501,$H499)))</f>
        <v/>
      </c>
      <c r="F499" s="41" t="str">
        <f aca="false">IF($H499="","",IF(INDEX(Задачи!$F$1:$F$501,$H499)="","",INDEX(Задачи!$F$1:$F$501,$H499)))</f>
        <v/>
      </c>
      <c r="G499" s="40" t="str">
        <f aca="false">IF($H499="","",INDEX(Задачи!$I$1:$I$501,$H499)&amp;"")</f>
        <v/>
      </c>
      <c r="H499" s="20" t="str">
        <f aca="false">IFERROR(MOD(LARGE(Задачи!$P$2:$P$501,ROWS(H$5:H499)),1000),"")</f>
        <v/>
      </c>
    </row>
    <row r="500" customFormat="false" ht="30" hidden="false" customHeight="true" outlineLevel="0" collapsed="false">
      <c r="A500" s="39" t="str">
        <f aca="false">IF($H500="","",ROWS(A$5:A500))</f>
        <v/>
      </c>
      <c r="B500" s="40" t="str">
        <f aca="false">IF($H500="","",INDEX(Задачи!$A$1:$A$501,$H500)&amp;"")</f>
        <v/>
      </c>
      <c r="C500" s="40" t="str">
        <f aca="false">IF($H500="","",INDEX(Задачи!$B$1:$B$501,$H500)&amp;"")</f>
        <v/>
      </c>
      <c r="D500" s="39" t="str">
        <f aca="false">IF($H500="","",INDEX(Задачи!$C$1:$C$501,$H500)&amp;"")</f>
        <v/>
      </c>
      <c r="E500" s="41" t="str">
        <f aca="false">IF($H500="","",IF(INDEX(Задачи!$E$1:$E$501,$H500)="","",INDEX(Задачи!$E$1:$E$501,$H500)))</f>
        <v/>
      </c>
      <c r="F500" s="41" t="str">
        <f aca="false">IF($H500="","",IF(INDEX(Задачи!$F$1:$F$501,$H500)="","",INDEX(Задачи!$F$1:$F$501,$H500)))</f>
        <v/>
      </c>
      <c r="G500" s="40" t="str">
        <f aca="false">IF($H500="","",INDEX(Задачи!$I$1:$I$501,$H500)&amp;"")</f>
        <v/>
      </c>
      <c r="H500" s="20" t="str">
        <f aca="false">IFERROR(MOD(LARGE(Задачи!$P$2:$P$501,ROWS(H$5:H500)),1000),"")</f>
        <v/>
      </c>
    </row>
    <row r="501" customFormat="false" ht="30" hidden="false" customHeight="true" outlineLevel="0" collapsed="false">
      <c r="A501" s="39" t="str">
        <f aca="false">IF($H501="","",ROWS(A$5:A501))</f>
        <v/>
      </c>
      <c r="B501" s="40" t="str">
        <f aca="false">IF($H501="","",INDEX(Задачи!$A$1:$A$501,$H501)&amp;"")</f>
        <v/>
      </c>
      <c r="C501" s="40" t="str">
        <f aca="false">IF($H501="","",INDEX(Задачи!$B$1:$B$501,$H501)&amp;"")</f>
        <v/>
      </c>
      <c r="D501" s="39" t="str">
        <f aca="false">IF($H501="","",INDEX(Задачи!$C$1:$C$501,$H501)&amp;"")</f>
        <v/>
      </c>
      <c r="E501" s="41" t="str">
        <f aca="false">IF($H501="","",IF(INDEX(Задачи!$E$1:$E$501,$H501)="","",INDEX(Задачи!$E$1:$E$501,$H501)))</f>
        <v/>
      </c>
      <c r="F501" s="41" t="str">
        <f aca="false">IF($H501="","",IF(INDEX(Задачи!$F$1:$F$501,$H501)="","",INDEX(Задачи!$F$1:$F$501,$H501)))</f>
        <v/>
      </c>
      <c r="G501" s="40" t="str">
        <f aca="false">IF($H501="","",INDEX(Задачи!$I$1:$I$501,$H501)&amp;"")</f>
        <v/>
      </c>
      <c r="H501" s="20" t="str">
        <f aca="false">IFERROR(MOD(LARGE(Задачи!$P$2:$P$501,ROWS(H$5:H501)),1000),"")</f>
        <v/>
      </c>
    </row>
    <row r="502" customFormat="false" ht="30" hidden="false" customHeight="true" outlineLevel="0" collapsed="false">
      <c r="A502" s="39" t="str">
        <f aca="false">IF($H502="","",ROWS(A$5:A502))</f>
        <v/>
      </c>
      <c r="B502" s="40" t="str">
        <f aca="false">IF($H502="","",INDEX(Задачи!$A$1:$A$501,$H502)&amp;"")</f>
        <v/>
      </c>
      <c r="C502" s="40" t="str">
        <f aca="false">IF($H502="","",INDEX(Задачи!$B$1:$B$501,$H502)&amp;"")</f>
        <v/>
      </c>
      <c r="D502" s="39" t="str">
        <f aca="false">IF($H502="","",INDEX(Задачи!$C$1:$C$501,$H502)&amp;"")</f>
        <v/>
      </c>
      <c r="E502" s="41" t="str">
        <f aca="false">IF($H502="","",IF(INDEX(Задачи!$E$1:$E$501,$H502)="","",INDEX(Задачи!$E$1:$E$501,$H502)))</f>
        <v/>
      </c>
      <c r="F502" s="41" t="str">
        <f aca="false">IF($H502="","",IF(INDEX(Задачи!$F$1:$F$501,$H502)="","",INDEX(Задачи!$F$1:$F$501,$H502)))</f>
        <v/>
      </c>
      <c r="G502" s="40" t="str">
        <f aca="false">IF($H502="","",INDEX(Задачи!$I$1:$I$501,$H502)&amp;"")</f>
        <v/>
      </c>
      <c r="H502" s="20" t="str">
        <f aca="false">IFERROR(MOD(LARGE(Задачи!$P$2:$P$501,ROWS(H$5:H502)),1000),"")</f>
        <v/>
      </c>
    </row>
    <row r="503" customFormat="false" ht="30" hidden="false" customHeight="true" outlineLevel="0" collapsed="false">
      <c r="A503" s="39" t="str">
        <f aca="false">IF($H503="","",ROWS(A$5:A503))</f>
        <v/>
      </c>
      <c r="B503" s="40" t="str">
        <f aca="false">IF($H503="","",INDEX(Задачи!$A$1:$A$501,$H503)&amp;"")</f>
        <v/>
      </c>
      <c r="C503" s="40" t="str">
        <f aca="false">IF($H503="","",INDEX(Задачи!$B$1:$B$501,$H503)&amp;"")</f>
        <v/>
      </c>
      <c r="D503" s="39" t="str">
        <f aca="false">IF($H503="","",INDEX(Задачи!$C$1:$C$501,$H503)&amp;"")</f>
        <v/>
      </c>
      <c r="E503" s="41" t="str">
        <f aca="false">IF($H503="","",IF(INDEX(Задачи!$E$1:$E$501,$H503)="","",INDEX(Задачи!$E$1:$E$501,$H503)))</f>
        <v/>
      </c>
      <c r="F503" s="41" t="str">
        <f aca="false">IF($H503="","",IF(INDEX(Задачи!$F$1:$F$501,$H503)="","",INDEX(Задачи!$F$1:$F$501,$H503)))</f>
        <v/>
      </c>
      <c r="G503" s="40" t="str">
        <f aca="false">IF($H503="","",INDEX(Задачи!$I$1:$I$501,$H503)&amp;"")</f>
        <v/>
      </c>
      <c r="H503" s="20" t="str">
        <f aca="false">IFERROR(MOD(LARGE(Задачи!$P$2:$P$501,ROWS(H$5:H503)),1000),"")</f>
        <v/>
      </c>
    </row>
    <row r="504" customFormat="false" ht="30" hidden="false" customHeight="true" outlineLevel="0" collapsed="false">
      <c r="A504" s="39" t="str">
        <f aca="false">IF($H504="","",ROWS(A$5:A504))</f>
        <v/>
      </c>
      <c r="B504" s="40" t="str">
        <f aca="false">IF($H504="","",INDEX(Задачи!$A$1:$A$501,$H504)&amp;"")</f>
        <v/>
      </c>
      <c r="C504" s="40" t="str">
        <f aca="false">IF($H504="","",INDEX(Задачи!$B$1:$B$501,$H504)&amp;"")</f>
        <v/>
      </c>
      <c r="D504" s="39" t="str">
        <f aca="false">IF($H504="","",INDEX(Задачи!$C$1:$C$501,$H504)&amp;"")</f>
        <v/>
      </c>
      <c r="E504" s="41" t="str">
        <f aca="false">IF($H504="","",IF(INDEX(Задачи!$E$1:$E$501,$H504)="","",INDEX(Задачи!$E$1:$E$501,$H504)))</f>
        <v/>
      </c>
      <c r="F504" s="41" t="str">
        <f aca="false">IF($H504="","",IF(INDEX(Задачи!$F$1:$F$501,$H504)="","",INDEX(Задачи!$F$1:$F$501,$H504)))</f>
        <v/>
      </c>
      <c r="G504" s="40" t="str">
        <f aca="false">IF($H504="","",INDEX(Задачи!$I$1:$I$501,$H504)&amp;"")</f>
        <v/>
      </c>
      <c r="H504" s="20" t="str">
        <f aca="false">IFERROR(MOD(LARGE(Задачи!$P$2:$P$501,ROWS(H$5:H504)),1000),"")</f>
        <v/>
      </c>
    </row>
  </sheetData>
  <autoFilter ref="A4:H505"/>
  <conditionalFormatting sqref="A5:H505">
    <cfRule type="expression" priority="2" aboveAverage="0" equalAverage="0" bottom="0" percent="0" rank="0" text="" dxfId="9">
      <formula>$B5&lt;&gt;""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D1DB"/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11" min="10" style="0" width="26"/>
  </cols>
  <sheetData>
    <row r="1" customFormat="false" ht="23.85" hidden="false" customHeight="false" outlineLevel="0" collapsed="false">
      <c r="A1" s="29" t="s">
        <v>112</v>
      </c>
      <c r="B1" s="29" t="s">
        <v>113</v>
      </c>
      <c r="C1" s="29" t="s">
        <v>114</v>
      </c>
      <c r="D1" s="29" t="s">
        <v>27</v>
      </c>
      <c r="E1" s="29" t="s">
        <v>28</v>
      </c>
      <c r="G1" s="5" t="s">
        <v>115</v>
      </c>
      <c r="H1" s="5" t="s">
        <v>116</v>
      </c>
      <c r="J1" s="42" t="s">
        <v>117</v>
      </c>
      <c r="K1" s="42" t="s">
        <v>118</v>
      </c>
    </row>
    <row r="2" customFormat="false" ht="15" hidden="false" customHeight="false" outlineLevel="0" collapsed="false">
      <c r="A2" s="43" t="s">
        <v>36</v>
      </c>
      <c r="B2" s="44" t="s">
        <v>66</v>
      </c>
      <c r="C2" s="44" t="s">
        <v>54</v>
      </c>
      <c r="D2" s="44" t="s">
        <v>41</v>
      </c>
      <c r="E2" s="44" t="s">
        <v>77</v>
      </c>
      <c r="G2" s="44" t="s">
        <v>119</v>
      </c>
      <c r="H2" s="45" t="n">
        <v>7</v>
      </c>
      <c r="J2" s="4" t="s">
        <v>7</v>
      </c>
      <c r="K2" s="4" t="s">
        <v>7</v>
      </c>
    </row>
    <row r="3" customFormat="false" ht="15" hidden="false" customHeight="false" outlineLevel="0" collapsed="false">
      <c r="A3" s="43" t="s">
        <v>44</v>
      </c>
      <c r="B3" s="44" t="s">
        <v>37</v>
      </c>
      <c r="C3" s="44" t="s">
        <v>13</v>
      </c>
      <c r="D3" s="44" t="s">
        <v>45</v>
      </c>
      <c r="E3" s="44" t="s">
        <v>46</v>
      </c>
      <c r="J3" s="4" t="str">
        <f aca="false">IF(A2="","",A2)</f>
        <v>Промбаза</v>
      </c>
      <c r="K3" s="4" t="str">
        <f aca="false">B2</f>
        <v>Срочно</v>
      </c>
    </row>
    <row r="4" customFormat="false" ht="15" hidden="false" customHeight="false" outlineLevel="0" collapsed="false">
      <c r="A4" s="43" t="s">
        <v>48</v>
      </c>
      <c r="B4" s="44" t="s">
        <v>73</v>
      </c>
      <c r="C4" s="44" t="s">
        <v>85</v>
      </c>
      <c r="D4" s="44" t="s">
        <v>38</v>
      </c>
      <c r="E4" s="44" t="s">
        <v>39</v>
      </c>
      <c r="J4" s="4" t="str">
        <f aca="false">IF(A3="","",A3)</f>
        <v>Промбаза / маркетинг</v>
      </c>
      <c r="K4" s="4" t="str">
        <f aca="false">B3</f>
        <v>Высокий</v>
      </c>
    </row>
    <row r="5" customFormat="false" ht="15" hidden="false" customHeight="false" outlineLevel="0" collapsed="false">
      <c r="A5" s="43" t="s">
        <v>60</v>
      </c>
      <c r="B5" s="44" t="s">
        <v>120</v>
      </c>
      <c r="C5" s="44" t="s">
        <v>61</v>
      </c>
      <c r="D5" s="44" t="s">
        <v>121</v>
      </c>
      <c r="E5" s="44" t="s">
        <v>42</v>
      </c>
      <c r="J5" s="4" t="str">
        <f aca="false">IF(A4="","",A4)</f>
        <v>Найм</v>
      </c>
      <c r="K5" s="4" t="str">
        <f aca="false">B4</f>
        <v>Средний</v>
      </c>
    </row>
    <row r="6" customFormat="false" ht="15" hidden="false" customHeight="false" outlineLevel="0" collapsed="false">
      <c r="A6" s="43" t="s">
        <v>65</v>
      </c>
      <c r="C6" s="44" t="s">
        <v>17</v>
      </c>
      <c r="E6" s="44" t="s">
        <v>49</v>
      </c>
      <c r="J6" s="4" t="str">
        <f aca="false">IF(A5="","",A5)</f>
        <v>Подгузники / маркетинг</v>
      </c>
      <c r="K6" s="4" t="str">
        <f aca="false">B5</f>
        <v>Низкий</v>
      </c>
    </row>
    <row r="7" customFormat="false" ht="15" hidden="false" customHeight="false" outlineLevel="0" collapsed="false">
      <c r="A7" s="43" t="s">
        <v>70</v>
      </c>
      <c r="E7" s="44" t="s">
        <v>62</v>
      </c>
      <c r="J7" s="4" t="str">
        <f aca="false">IF(A6="","",A6)</f>
        <v>Управление</v>
      </c>
      <c r="K7" s="4"/>
    </row>
    <row r="8" customFormat="false" ht="15" hidden="false" customHeight="false" outlineLevel="0" collapsed="false">
      <c r="A8" s="43" t="s">
        <v>72</v>
      </c>
      <c r="E8" s="44" t="s">
        <v>67</v>
      </c>
      <c r="J8" s="4" t="str">
        <f aca="false">IF(A7="","",A7)</f>
        <v>Продажи / управление</v>
      </c>
      <c r="K8" s="4"/>
    </row>
    <row r="9" customFormat="false" ht="15" hidden="false" customHeight="false" outlineLevel="0" collapsed="false">
      <c r="A9" s="43" t="s">
        <v>76</v>
      </c>
      <c r="E9" s="44" t="s">
        <v>86</v>
      </c>
      <c r="J9" s="4" t="str">
        <f aca="false">IF(A8="","",A8)</f>
        <v>Недвижимость</v>
      </c>
      <c r="K9" s="4"/>
    </row>
    <row r="10" customFormat="false" ht="15" hidden="false" customHeight="false" outlineLevel="0" collapsed="false">
      <c r="A10" s="43"/>
      <c r="E10" s="44" t="s">
        <v>122</v>
      </c>
      <c r="J10" s="4" t="str">
        <f aca="false">IF(A9="","",A9)</f>
        <v>Оптовка</v>
      </c>
      <c r="K10" s="4"/>
    </row>
    <row r="11" customFormat="false" ht="15" hidden="false" customHeight="false" outlineLevel="0" collapsed="false">
      <c r="A11" s="43"/>
      <c r="E11" s="44" t="s">
        <v>123</v>
      </c>
      <c r="J11" s="4" t="str">
        <f aca="false">IF(A10="","",A10)</f>
        <v/>
      </c>
      <c r="K11" s="4"/>
    </row>
    <row r="12" customFormat="false" ht="15" hidden="false" customHeight="false" outlineLevel="0" collapsed="false">
      <c r="A12" s="43"/>
      <c r="J12" s="4" t="str">
        <f aca="false">IF(A11="","",A11)</f>
        <v/>
      </c>
      <c r="K12" s="4"/>
    </row>
    <row r="13" customFormat="false" ht="15" hidden="false" customHeight="false" outlineLevel="0" collapsed="false">
      <c r="A13" s="43"/>
      <c r="J13" s="4" t="str">
        <f aca="false">IF(A12="","",A12)</f>
        <v/>
      </c>
      <c r="K13" s="4"/>
    </row>
    <row r="14" customFormat="false" ht="15" hidden="false" customHeight="false" outlineLevel="0" collapsed="false">
      <c r="A14" s="43"/>
      <c r="J14" s="4" t="str">
        <f aca="false">IF(A13="","",A13)</f>
        <v/>
      </c>
      <c r="K14" s="4"/>
    </row>
    <row r="15" customFormat="false" ht="15" hidden="false" customHeight="false" outlineLevel="0" collapsed="false">
      <c r="A15" s="43"/>
      <c r="J15" s="4" t="str">
        <f aca="false">IF(A14="","",A14)</f>
        <v/>
      </c>
      <c r="K15" s="4"/>
    </row>
    <row r="16" customFormat="false" ht="15" hidden="false" customHeight="false" outlineLevel="0" collapsed="false">
      <c r="A16" s="43"/>
      <c r="J16" s="4" t="str">
        <f aca="false">IF(A15="","",A15)</f>
        <v/>
      </c>
      <c r="K16" s="4"/>
    </row>
    <row r="17" customFormat="false" ht="15" hidden="false" customHeight="false" outlineLevel="0" collapsed="false">
      <c r="J17" s="4" t="str">
        <f aca="false">IF(A16="","",A16)</f>
        <v/>
      </c>
      <c r="K17" s="4"/>
    </row>
    <row r="19" customFormat="false" ht="15" hidden="false" customHeight="false" outlineLevel="0" collapsed="false">
      <c r="A19" s="4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D1DB"/>
    <pageSetUpPr fitToPage="false"/>
  </sheetPr>
  <dimension ref="B1:B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37" t="s">
        <v>125</v>
      </c>
    </row>
    <row r="3" customFormat="false" ht="15" hidden="false" customHeight="false" outlineLevel="0" collapsed="false">
      <c r="B3" s="46" t="s">
        <v>126</v>
      </c>
    </row>
    <row r="4" customFormat="false" ht="18" hidden="false" customHeight="true" outlineLevel="0" collapsed="false">
      <c r="B4" s="47" t="s">
        <v>127</v>
      </c>
    </row>
    <row r="5" customFormat="false" ht="33" hidden="false" customHeight="true" outlineLevel="0" collapsed="false">
      <c r="B5" s="47" t="s">
        <v>128</v>
      </c>
    </row>
    <row r="6" customFormat="false" ht="33" hidden="false" customHeight="true" outlineLevel="0" collapsed="false">
      <c r="B6" s="47" t="s">
        <v>129</v>
      </c>
    </row>
    <row r="7" customFormat="false" ht="15" hidden="false" customHeight="false" outlineLevel="0" collapsed="false">
      <c r="B7" s="47"/>
    </row>
    <row r="8" customFormat="false" ht="15" hidden="false" customHeight="false" outlineLevel="0" collapsed="false">
      <c r="B8" s="46" t="s">
        <v>130</v>
      </c>
    </row>
    <row r="9" customFormat="false" ht="33" hidden="false" customHeight="true" outlineLevel="0" collapsed="false">
      <c r="B9" s="47" t="s">
        <v>131</v>
      </c>
    </row>
    <row r="10" customFormat="false" ht="33" hidden="false" customHeight="true" outlineLevel="0" collapsed="false">
      <c r="B10" s="47" t="s">
        <v>132</v>
      </c>
    </row>
    <row r="11" customFormat="false" ht="18" hidden="false" customHeight="true" outlineLevel="0" collapsed="false">
      <c r="B11" s="47" t="s">
        <v>133</v>
      </c>
    </row>
    <row r="12" customFormat="false" ht="18" hidden="false" customHeight="true" outlineLevel="0" collapsed="false">
      <c r="B12" s="47" t="s">
        <v>134</v>
      </c>
    </row>
    <row r="13" customFormat="false" ht="15" hidden="false" customHeight="false" outlineLevel="0" collapsed="false">
      <c r="B13" s="47"/>
    </row>
    <row r="14" customFormat="false" ht="15" hidden="false" customHeight="false" outlineLevel="0" collapsed="false">
      <c r="B14" s="46" t="s">
        <v>135</v>
      </c>
    </row>
    <row r="15" customFormat="false" ht="18" hidden="false" customHeight="true" outlineLevel="0" collapsed="false">
      <c r="B15" s="47" t="s">
        <v>136</v>
      </c>
    </row>
    <row r="16" customFormat="false" ht="33" hidden="false" customHeight="true" outlineLevel="0" collapsed="false">
      <c r="B16" s="47" t="s">
        <v>137</v>
      </c>
    </row>
    <row r="17" customFormat="false" ht="15" hidden="false" customHeight="false" outlineLevel="0" collapsed="false">
      <c r="B17" s="47"/>
    </row>
    <row r="18" customFormat="false" ht="15" hidden="false" customHeight="false" outlineLevel="0" collapsed="false">
      <c r="B18" s="46" t="s">
        <v>138</v>
      </c>
    </row>
    <row r="19" customFormat="false" ht="18" hidden="false" customHeight="true" outlineLevel="0" collapsed="false">
      <c r="B19" s="47" t="s">
        <v>139</v>
      </c>
    </row>
    <row r="20" customFormat="false" ht="18" hidden="false" customHeight="true" outlineLevel="0" collapsed="false">
      <c r="B20" s="47" t="s">
        <v>140</v>
      </c>
    </row>
    <row r="21" customFormat="false" ht="15" hidden="false" customHeight="false" outlineLevel="0" collapsed="false">
      <c r="B21" s="47"/>
    </row>
    <row r="22" customFormat="false" ht="15" hidden="false" customHeight="false" outlineLevel="0" collapsed="false">
      <c r="B22" s="46" t="s">
        <v>141</v>
      </c>
    </row>
    <row r="23" customFormat="false" ht="33" hidden="false" customHeight="true" outlineLevel="0" collapsed="false">
      <c r="B23" s="47" t="s">
        <v>142</v>
      </c>
    </row>
    <row r="24" customFormat="false" ht="33" hidden="false" customHeight="true" outlineLevel="0" collapsed="false">
      <c r="B24" s="47" t="s">
        <v>143</v>
      </c>
    </row>
    <row r="25" customFormat="false" ht="18" hidden="false" customHeight="true" outlineLevel="0" collapsed="false">
      <c r="B25" s="47" t="s">
        <v>144</v>
      </c>
    </row>
    <row r="26" customFormat="false" ht="33" hidden="false" customHeight="true" outlineLevel="0" collapsed="false">
      <c r="B26" s="47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2026-10-06T19:20:28Z</dcterms:created>
  <dc:creator>openpyxl</dc:creator>
  <dc:description/>
  <dc:language>en-US</dc:language>
  <cp:lastModifiedBy/>
  <dcterms:modified xsi:type="dcterms:W3CDTF">2026-10-06T19:20:29Z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